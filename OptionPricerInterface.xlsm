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webextensions/webextension1.xml" ContentType="application/vnd.ms-office.webextension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andre\OneDrive\Escritorio\M2QF Paris-Saclay\Asignaturas\1er Cuatri\Project Info\OptionPricer\"/>
    </mc:Choice>
  </mc:AlternateContent>
  <xr:revisionPtr revIDLastSave="0" documentId="13_ncr:1_{6D9CCDF8-29C8-4012-B7E9-E1287B12368E}" xr6:coauthVersionLast="47" xr6:coauthVersionMax="47" xr10:uidLastSave="{00000000-0000-0000-0000-000000000000}"/>
  <bookViews>
    <workbookView xWindow="-96" yWindow="-96" windowWidth="23232" windowHeight="12552" tabRatio="685" activeTab="1" xr2:uid="{4277A9C3-1A53-804F-AE66-0638F01A9B5D}"/>
  </bookViews>
  <sheets>
    <sheet name="Prices &amp; Greeks" sheetId="1" r:id="rId1"/>
    <sheet name="European-American Equivalence" sheetId="2" r:id="rId2"/>
    <sheet name="Optimal Exercise Boundary" sheetId="3" r:id="rId3"/>
    <sheet name="Error-time with n and k" sheetId="4" r:id="rId4"/>
  </sheets>
  <definedNames>
    <definedName name="_xleta.CONCAT" hidden="1" xlm="1">#NAME?</definedName>
    <definedName name="_xleta.EXP" hidden="1" xlm="1">#NAME?</definedName>
    <definedName name="_xleta.MAX" hidden="1" xlm="1">#NAME?</definedName>
    <definedName name="_xleta.PRICE" hidden="1" xlm="1">#NAME?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" i="2" l="1"/>
  <c r="H18" i="2" s="1"/>
  <c r="H15" i="2"/>
  <c r="D16" i="2"/>
  <c r="D18" i="2" s="1"/>
  <c r="D15" i="2"/>
  <c r="D17" i="2" s="1"/>
  <c r="Q13" i="1"/>
  <c r="Q14" i="1"/>
  <c r="M6" i="3"/>
  <c r="AA15" i="1"/>
  <c r="AA14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H19" i="2" l="1"/>
  <c r="D19" i="2"/>
  <c r="H17" i="2"/>
</calcChain>
</file>

<file path=xl/sharedStrings.xml><?xml version="1.0" encoding="utf-8"?>
<sst xmlns="http://schemas.openxmlformats.org/spreadsheetml/2006/main" count="103" uniqueCount="70">
  <si>
    <t>Inputs</t>
  </si>
  <si>
    <t>Contract type</t>
  </si>
  <si>
    <t>The exercise type</t>
  </si>
  <si>
    <t>Metric</t>
  </si>
  <si>
    <t>Call</t>
  </si>
  <si>
    <t>Put</t>
  </si>
  <si>
    <t>American</t>
  </si>
  <si>
    <t>European</t>
  </si>
  <si>
    <t>Price</t>
  </si>
  <si>
    <t>American Call</t>
  </si>
  <si>
    <t>European Call</t>
  </si>
  <si>
    <t>European Put</t>
  </si>
  <si>
    <t>Range min</t>
  </si>
  <si>
    <t>Range max</t>
  </si>
  <si>
    <t>N points</t>
  </si>
  <si>
    <t>Range param</t>
  </si>
  <si>
    <t>Spot</t>
  </si>
  <si>
    <t>Greek</t>
  </si>
  <si>
    <t>Delta</t>
  </si>
  <si>
    <t>ParamValue</t>
  </si>
  <si>
    <t>Andrés Mireles &amp; Remi Riche</t>
  </si>
  <si>
    <t>Greeks</t>
  </si>
  <si>
    <t>Gamma</t>
  </si>
  <si>
    <t>Vega</t>
  </si>
  <si>
    <t>Rho</t>
  </si>
  <si>
    <t>Theta</t>
  </si>
  <si>
    <t>Range params</t>
  </si>
  <si>
    <t>Maturity</t>
  </si>
  <si>
    <t>Volatility</t>
  </si>
  <si>
    <t>Dividend yield (q)</t>
  </si>
  <si>
    <t>Number of spot steps (n)</t>
  </si>
  <si>
    <t>Number of time steps (k)</t>
  </si>
  <si>
    <t>Exercise type</t>
  </si>
  <si>
    <t>Spot price (S0)</t>
  </si>
  <si>
    <t>Strike (K)</t>
  </si>
  <si>
    <t>Computation date (T0)</t>
  </si>
  <si>
    <t>Maturity  (T)</t>
  </si>
  <si>
    <t>Risk free rate at T0</t>
  </si>
  <si>
    <t>Risk free rate at T</t>
  </si>
  <si>
    <t xml:space="preserve">Option pricing library using a finite difference method </t>
  </si>
  <si>
    <t>Volatility (σ)</t>
  </si>
  <si>
    <t>Absolute Error</t>
  </si>
  <si>
    <t>Numerical</t>
  </si>
  <si>
    <t>Black-Scholes</t>
  </si>
  <si>
    <t>Relative Error</t>
  </si>
  <si>
    <t>American Put</t>
  </si>
  <si>
    <t>Type</t>
  </si>
  <si>
    <t>Risk free rate T0</t>
  </si>
  <si>
    <t>Risk free rate T</t>
  </si>
  <si>
    <t>Positive Interest Rates</t>
  </si>
  <si>
    <t>Negative Interest Rates</t>
  </si>
  <si>
    <t>Time To Maturity</t>
  </si>
  <si>
    <t>M2 Quantitative Finance</t>
  </si>
  <si>
    <t>n</t>
  </si>
  <si>
    <t>k</t>
  </si>
  <si>
    <t>Relative PDE Error</t>
  </si>
  <si>
    <t>Time Taken (s)</t>
  </si>
  <si>
    <t>Total general</t>
  </si>
  <si>
    <t>Average Relative PDE Error</t>
  </si>
  <si>
    <t>Average Time Taken</t>
  </si>
  <si>
    <t>Moneyness *</t>
  </si>
  <si>
    <t xml:space="preserve"> * Moneyness is defined as the spot price over the discounted strike of the option</t>
  </si>
  <si>
    <t>Spot Price</t>
  </si>
  <si>
    <t>Discounted Strike</t>
  </si>
  <si>
    <t>Discounted Spot (with q)</t>
  </si>
  <si>
    <t>Put-Call Parity Check</t>
  </si>
  <si>
    <t>Difference</t>
  </si>
  <si>
    <t>C + PV(K)</t>
  </si>
  <si>
    <t>P + S*e^(-qT)</t>
  </si>
  <si>
    <t>European-American Equivalence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</si>
</sst>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-;\-* #,##0.00_-;_-* &quot;-&quot;??_-;_-@_-"/>
    <numFmt numFmtId="165" formatCode="0.0000%"/>
    <numFmt numFmtId="166" formatCode="0.0000"/>
    <numFmt numFmtId="167" formatCode="0.000"/>
    <numFmt numFmtId="168" formatCode="0.00000"/>
  </numFmts>
  <fonts count="12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1"/>
      <name val="Menlo"/>
      <family val="2"/>
    </font>
    <font>
      <sz val="12"/>
      <color theme="1"/>
      <name val="Menlo"/>
      <family val="2"/>
    </font>
    <font>
      <sz val="13"/>
      <color theme="1"/>
      <name val="SFRM1728"/>
    </font>
    <font>
      <b/>
      <sz val="17"/>
      <color theme="1"/>
      <name val="SFRM1728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theme="1"/>
      <name val="Menlo"/>
    </font>
    <font>
      <u/>
      <sz val="12"/>
      <color theme="1"/>
      <name val="Aptos Narrow"/>
      <family val="2"/>
      <scheme val="minor"/>
    </font>
    <font>
      <b/>
      <sz val="12"/>
      <color rgb="FF000000"/>
      <name val="Aptos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7E1F5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1">
    <xf numFmtId="0" fontId="0" fillId="0" borderId="0" xfId="0"/>
    <xf numFmtId="0" fontId="1" fillId="0" borderId="0" xfId="0" applyFont="1"/>
    <xf numFmtId="0" fontId="1" fillId="0" borderId="0" xfId="0" quotePrefix="1" applyFon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3" borderId="6" xfId="0" applyFont="1" applyFill="1" applyBorder="1"/>
    <xf numFmtId="0" fontId="7" fillId="3" borderId="7" xfId="0" applyFont="1" applyFill="1" applyBorder="1"/>
    <xf numFmtId="0" fontId="0" fillId="3" borderId="7" xfId="0" applyFill="1" applyBorder="1"/>
    <xf numFmtId="0" fontId="0" fillId="3" borderId="8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5" fillId="3" borderId="11" xfId="0" applyFont="1" applyFill="1" applyBorder="1"/>
    <xf numFmtId="0" fontId="0" fillId="3" borderId="12" xfId="0" applyFill="1" applyBorder="1"/>
    <xf numFmtId="0" fontId="0" fillId="3" borderId="13" xfId="0" applyFill="1" applyBorder="1"/>
    <xf numFmtId="11" fontId="0" fillId="0" borderId="5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1" fontId="0" fillId="0" borderId="16" xfId="0" applyNumberFormat="1" applyBorder="1" applyAlignment="1">
      <alignment horizontal="center" vertical="center"/>
    </xf>
    <xf numFmtId="165" fontId="0" fillId="2" borderId="15" xfId="2" applyNumberFormat="1" applyFont="1" applyFill="1" applyBorder="1" applyAlignment="1">
      <alignment horizontal="center" vertical="center"/>
    </xf>
    <xf numFmtId="165" fontId="0" fillId="2" borderId="4" xfId="2" applyNumberFormat="1" applyFont="1" applyFill="1" applyBorder="1" applyAlignment="1">
      <alignment horizontal="center" vertical="center"/>
    </xf>
    <xf numFmtId="2" fontId="0" fillId="0" borderId="0" xfId="0" applyNumberFormat="1"/>
    <xf numFmtId="0" fontId="1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2" fontId="1" fillId="0" borderId="15" xfId="1" applyNumberFormat="1" applyFont="1" applyBorder="1" applyAlignment="1">
      <alignment horizontal="center" vertical="center"/>
    </xf>
    <xf numFmtId="9" fontId="1" fillId="0" borderId="15" xfId="2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9" fontId="3" fillId="0" borderId="15" xfId="2" applyFont="1" applyBorder="1" applyAlignment="1">
      <alignment horizontal="center" vertical="center"/>
    </xf>
    <xf numFmtId="9" fontId="0" fillId="0" borderId="4" xfId="2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1" fontId="0" fillId="0" borderId="18" xfId="0" applyNumberFormat="1" applyBorder="1" applyAlignment="1">
      <alignment horizontal="center" vertical="center"/>
    </xf>
    <xf numFmtId="165" fontId="0" fillId="2" borderId="19" xfId="2" applyNumberFormat="1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3" borderId="0" xfId="0" applyFont="1" applyFill="1"/>
    <xf numFmtId="0" fontId="0" fillId="3" borderId="0" xfId="0" applyFill="1"/>
    <xf numFmtId="0" fontId="0" fillId="0" borderId="23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9" fontId="3" fillId="0" borderId="25" xfId="2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/>
    <xf numFmtId="14" fontId="0" fillId="0" borderId="15" xfId="0" applyNumberForma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7" fontId="0" fillId="0" borderId="4" xfId="0" applyNumberFormat="1" applyBorder="1" applyAlignment="1">
      <alignment horizontal="center" vertical="center"/>
    </xf>
    <xf numFmtId="166" fontId="0" fillId="0" borderId="18" xfId="0" applyNumberFormat="1" applyBorder="1" applyAlignment="1">
      <alignment horizontal="center" vertical="center"/>
    </xf>
    <xf numFmtId="166" fontId="0" fillId="0" borderId="5" xfId="0" applyNumberFormat="1" applyBorder="1" applyAlignment="1">
      <alignment horizontal="center" vertical="center"/>
    </xf>
    <xf numFmtId="166" fontId="0" fillId="0" borderId="16" xfId="0" applyNumberFormat="1" applyBorder="1" applyAlignment="1">
      <alignment horizontal="center" vertical="center"/>
    </xf>
    <xf numFmtId="0" fontId="10" fillId="0" borderId="0" xfId="0" applyFont="1"/>
    <xf numFmtId="0" fontId="0" fillId="0" borderId="2" xfId="0" quotePrefix="1" applyBorder="1" applyAlignment="1">
      <alignment horizontal="center" vertical="center"/>
    </xf>
    <xf numFmtId="9" fontId="3" fillId="0" borderId="4" xfId="2" applyFont="1" applyBorder="1" applyAlignment="1">
      <alignment horizontal="center" vertical="center"/>
    </xf>
    <xf numFmtId="0" fontId="0" fillId="0" borderId="0" xfId="0" pivotButton="1"/>
    <xf numFmtId="0" fontId="7" fillId="7" borderId="27" xfId="0" applyFont="1" applyFill="1" applyBorder="1"/>
    <xf numFmtId="0" fontId="0" fillId="0" borderId="0" xfId="0" applyAlignment="1">
      <alignment horizontal="left"/>
    </xf>
    <xf numFmtId="11" fontId="0" fillId="0" borderId="0" xfId="0" applyNumberFormat="1" applyAlignment="1">
      <alignment horizontal="center" vertical="center"/>
    </xf>
    <xf numFmtId="10" fontId="0" fillId="0" borderId="0" xfId="0" applyNumberFormat="1"/>
    <xf numFmtId="168" fontId="0" fillId="0" borderId="0" xfId="0" applyNumberFormat="1"/>
    <xf numFmtId="9" fontId="0" fillId="0" borderId="0" xfId="2" applyFont="1"/>
    <xf numFmtId="0" fontId="0" fillId="0" borderId="0" xfId="0" applyAlignment="1">
      <alignment horizontal="center"/>
    </xf>
    <xf numFmtId="167" fontId="0" fillId="0" borderId="14" xfId="0" applyNumberFormat="1" applyBorder="1" applyAlignment="1">
      <alignment horizontal="center"/>
    </xf>
    <xf numFmtId="167" fontId="0" fillId="0" borderId="3" xfId="0" applyNumberFormat="1" applyBorder="1" applyAlignment="1">
      <alignment horizontal="center"/>
    </xf>
    <xf numFmtId="2" fontId="0" fillId="0" borderId="15" xfId="2" applyNumberFormat="1" applyFont="1" applyBorder="1" applyAlignment="1">
      <alignment horizontal="center"/>
    </xf>
    <xf numFmtId="0" fontId="7" fillId="3" borderId="28" xfId="0" applyFont="1" applyFill="1" applyBorder="1" applyAlignment="1">
      <alignment horizontal="center" vertical="center" wrapText="1"/>
    </xf>
    <xf numFmtId="0" fontId="7" fillId="3" borderId="29" xfId="0" applyFont="1" applyFill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/>
    </xf>
    <xf numFmtId="2" fontId="0" fillId="0" borderId="2" xfId="2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0" fontId="0" fillId="0" borderId="23" xfId="0" applyBorder="1" applyAlignment="1">
      <alignment horizontal="center" vertical="center" wrapText="1"/>
    </xf>
    <xf numFmtId="0" fontId="0" fillId="0" borderId="10" xfId="0" applyBorder="1"/>
    <xf numFmtId="0" fontId="0" fillId="0" borderId="33" xfId="0" applyBorder="1" applyAlignment="1">
      <alignment horizontal="center" vertical="center" wrapText="1"/>
    </xf>
    <xf numFmtId="2" fontId="0" fillId="0" borderId="19" xfId="0" applyNumberFormat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7" fillId="6" borderId="30" xfId="0" applyFont="1" applyFill="1" applyBorder="1" applyAlignment="1">
      <alignment horizontal="center" vertical="center" wrapText="1"/>
    </xf>
    <xf numFmtId="0" fontId="7" fillId="6" borderId="31" xfId="0" applyFont="1" applyFill="1" applyBorder="1" applyAlignment="1">
      <alignment horizontal="center" vertical="center" wrapText="1"/>
    </xf>
    <xf numFmtId="0" fontId="7" fillId="6" borderId="32" xfId="0" applyFont="1" applyFill="1" applyBorder="1" applyAlignment="1">
      <alignment horizontal="center" vertical="center" wrapText="1"/>
    </xf>
    <xf numFmtId="0" fontId="7" fillId="8" borderId="20" xfId="0" applyFont="1" applyFill="1" applyBorder="1" applyAlignment="1">
      <alignment horizontal="center" vertical="center"/>
    </xf>
    <xf numFmtId="0" fontId="7" fillId="8" borderId="22" xfId="0" applyFont="1" applyFill="1" applyBorder="1" applyAlignment="1">
      <alignment horizontal="center" vertical="center"/>
    </xf>
    <xf numFmtId="0" fontId="7" fillId="8" borderId="24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</cellXfs>
  <cellStyles count="3">
    <cellStyle name="Millares" xfId="1" builtinId="3"/>
    <cellStyle name="Normal" xfId="0" builtinId="0"/>
    <cellStyle name="Porcentaje" xfId="2" builtinId="5"/>
  </cellStyles>
  <dxfs count="24">
    <dxf>
      <numFmt numFmtId="168" formatCode="0.00000"/>
    </dxf>
    <dxf>
      <numFmt numFmtId="14" formatCode="0.00%"/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numFmt numFmtId="169" formatCode="0.0"/>
      <fill>
        <patternFill patternType="none">
          <bgColor auto="1"/>
        </patternFill>
      </fill>
    </dxf>
    <dxf>
      <numFmt numFmtId="13" formatCode="0%"/>
      <fill>
        <patternFill patternType="none">
          <bgColor auto="1"/>
        </patternFill>
      </fill>
    </dxf>
    <dxf>
      <font>
        <color auto="1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F7E1F5"/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'Prices &amp; Greeks'!$Q$13</c:f>
          <c:strCache>
            <c:ptCount val="1"/>
            <c:pt idx="0">
              <c:v>Put Price vs Moneyness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Price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'Prices &amp; Greeks'!$AB$10:$AB$194</c:f>
              <c:numCache>
                <c:formatCode>General</c:formatCode>
                <c:ptCount val="185"/>
                <c:pt idx="0">
                  <c:v>0.4</c:v>
                </c:pt>
                <c:pt idx="1">
                  <c:v>0.44333299999999998</c:v>
                </c:pt>
                <c:pt idx="2">
                  <c:v>0.48666700000000002</c:v>
                </c:pt>
                <c:pt idx="3">
                  <c:v>0.53</c:v>
                </c:pt>
                <c:pt idx="4">
                  <c:v>0.57333299999999998</c:v>
                </c:pt>
                <c:pt idx="5">
                  <c:v>0.61666699999999997</c:v>
                </c:pt>
                <c:pt idx="6">
                  <c:v>0.66</c:v>
                </c:pt>
                <c:pt idx="7">
                  <c:v>0.70333299999999999</c:v>
                </c:pt>
                <c:pt idx="8">
                  <c:v>0.74666699999999997</c:v>
                </c:pt>
                <c:pt idx="9">
                  <c:v>0.79</c:v>
                </c:pt>
                <c:pt idx="10">
                  <c:v>0.83333299999999999</c:v>
                </c:pt>
                <c:pt idx="11">
                  <c:v>0.87666699999999997</c:v>
                </c:pt>
                <c:pt idx="12">
                  <c:v>0.92</c:v>
                </c:pt>
                <c:pt idx="13">
                  <c:v>0.96333299999999999</c:v>
                </c:pt>
                <c:pt idx="14">
                  <c:v>1.00667</c:v>
                </c:pt>
                <c:pt idx="15">
                  <c:v>1.05</c:v>
                </c:pt>
                <c:pt idx="16">
                  <c:v>1.0933299999999999</c:v>
                </c:pt>
                <c:pt idx="17">
                  <c:v>1.1366700000000001</c:v>
                </c:pt>
                <c:pt idx="18">
                  <c:v>1.18</c:v>
                </c:pt>
                <c:pt idx="19">
                  <c:v>1.22333</c:v>
                </c:pt>
                <c:pt idx="20">
                  <c:v>1.26667</c:v>
                </c:pt>
                <c:pt idx="21">
                  <c:v>1.31</c:v>
                </c:pt>
                <c:pt idx="22">
                  <c:v>1.3533299999999999</c:v>
                </c:pt>
                <c:pt idx="23">
                  <c:v>1.3966700000000001</c:v>
                </c:pt>
                <c:pt idx="24">
                  <c:v>1.44</c:v>
                </c:pt>
                <c:pt idx="25">
                  <c:v>1.48333</c:v>
                </c:pt>
                <c:pt idx="26">
                  <c:v>1.52667</c:v>
                </c:pt>
                <c:pt idx="27">
                  <c:v>1.57</c:v>
                </c:pt>
                <c:pt idx="28">
                  <c:v>1.6133299999999999</c:v>
                </c:pt>
                <c:pt idx="29">
                  <c:v>1.6566700000000001</c:v>
                </c:pt>
                <c:pt idx="30">
                  <c:v>1.7</c:v>
                </c:pt>
              </c:numCache>
            </c:numRef>
          </c:xVal>
          <c:yVal>
            <c:numRef>
              <c:f>'Prices &amp; Greeks'!$AC$10:$AC$194</c:f>
              <c:numCache>
                <c:formatCode>0.00E+00</c:formatCode>
                <c:ptCount val="185"/>
                <c:pt idx="0">
                  <c:v>63.524799999999999</c:v>
                </c:pt>
                <c:pt idx="1">
                  <c:v>59.013599999999997</c:v>
                </c:pt>
                <c:pt idx="2">
                  <c:v>54.502400000000002</c:v>
                </c:pt>
                <c:pt idx="3">
                  <c:v>49.991500000000002</c:v>
                </c:pt>
                <c:pt idx="4">
                  <c:v>45.481900000000003</c:v>
                </c:pt>
                <c:pt idx="5">
                  <c:v>40.9773</c:v>
                </c:pt>
                <c:pt idx="6">
                  <c:v>36.488399999999999</c:v>
                </c:pt>
                <c:pt idx="7">
                  <c:v>32.038899999999998</c:v>
                </c:pt>
                <c:pt idx="8">
                  <c:v>27.671800000000001</c:v>
                </c:pt>
                <c:pt idx="9">
                  <c:v>23.451499999999999</c:v>
                </c:pt>
                <c:pt idx="10">
                  <c:v>19.459800000000001</c:v>
                </c:pt>
                <c:pt idx="11">
                  <c:v>15.7835</c:v>
                </c:pt>
                <c:pt idx="12">
                  <c:v>12.4993</c:v>
                </c:pt>
                <c:pt idx="13">
                  <c:v>9.6599500000000003</c:v>
                </c:pt>
                <c:pt idx="14">
                  <c:v>7.28634</c:v>
                </c:pt>
                <c:pt idx="15">
                  <c:v>5.36707</c:v>
                </c:pt>
                <c:pt idx="16" formatCode="General">
                  <c:v>3.8642799999999999</c:v>
                </c:pt>
                <c:pt idx="17" formatCode="General">
                  <c:v>2.72289</c:v>
                </c:pt>
                <c:pt idx="18" formatCode="General">
                  <c:v>1.88029</c:v>
                </c:pt>
                <c:pt idx="19">
                  <c:v>1.2743800000000001</c:v>
                </c:pt>
                <c:pt idx="20">
                  <c:v>0.84900699999999996</c:v>
                </c:pt>
                <c:pt idx="21">
                  <c:v>0.55682600000000004</c:v>
                </c:pt>
                <c:pt idx="22">
                  <c:v>0.36005100000000001</c:v>
                </c:pt>
                <c:pt idx="23">
                  <c:v>0.22985700000000001</c:v>
                </c:pt>
                <c:pt idx="24">
                  <c:v>0.14507200000000001</c:v>
                </c:pt>
                <c:pt idx="25">
                  <c:v>9.0632099999999993E-2</c:v>
                </c:pt>
                <c:pt idx="26">
                  <c:v>5.6113000000000003E-2</c:v>
                </c:pt>
                <c:pt idx="27">
                  <c:v>3.4466799999999999E-2</c:v>
                </c:pt>
                <c:pt idx="28">
                  <c:v>2.1024600000000001E-2</c:v>
                </c:pt>
                <c:pt idx="29">
                  <c:v>1.2748000000000001E-2</c:v>
                </c:pt>
                <c:pt idx="30">
                  <c:v>7.6896999999999998E-3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59-304E-A0A5-C7D69964059C}"/>
            </c:ext>
          </c:extLst>
        </c:ser>
        <c:ser>
          <c:idx val="1"/>
          <c:order val="1"/>
          <c:tx>
            <c:v>Srike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xVal>
            <c:numRef>
              <c:f>'Prices &amp; Greeks'!#REF!</c:f>
              <c:extLst xmlns:c15="http://schemas.microsoft.com/office/drawing/2012/chart"/>
            </c:numRef>
          </c:xVal>
          <c:yVal>
            <c:numRef>
              <c:f>'Prices &amp; Greeks'!#REF!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7612-4EDD-8318-FABF1094C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227855"/>
        <c:axId val="1471463343"/>
        <c:extLst/>
      </c:scatterChart>
      <c:valAx>
        <c:axId val="1471227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'Prices &amp; Greeks'!$F$24</c:f>
              <c:strCache>
                <c:ptCount val="1"/>
                <c:pt idx="0">
                  <c:v>Moneyness *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71463343"/>
        <c:crosses val="autoZero"/>
        <c:crossBetween val="midCat"/>
      </c:valAx>
      <c:valAx>
        <c:axId val="1471463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71227855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'Prices &amp; Greeks'!$Q$14</c:f>
          <c:strCache>
            <c:ptCount val="1"/>
            <c:pt idx="0">
              <c:v>Put Gamma vs Moneyness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Greek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'Prices &amp; Greeks'!$AB$10:$AB$194</c:f>
              <c:numCache>
                <c:formatCode>General</c:formatCode>
                <c:ptCount val="185"/>
                <c:pt idx="0">
                  <c:v>0.4</c:v>
                </c:pt>
                <c:pt idx="1">
                  <c:v>0.44333299999999998</c:v>
                </c:pt>
                <c:pt idx="2">
                  <c:v>0.48666700000000002</c:v>
                </c:pt>
                <c:pt idx="3">
                  <c:v>0.53</c:v>
                </c:pt>
                <c:pt idx="4">
                  <c:v>0.57333299999999998</c:v>
                </c:pt>
                <c:pt idx="5">
                  <c:v>0.61666699999999997</c:v>
                </c:pt>
                <c:pt idx="6">
                  <c:v>0.66</c:v>
                </c:pt>
                <c:pt idx="7">
                  <c:v>0.70333299999999999</c:v>
                </c:pt>
                <c:pt idx="8">
                  <c:v>0.74666699999999997</c:v>
                </c:pt>
                <c:pt idx="9">
                  <c:v>0.79</c:v>
                </c:pt>
                <c:pt idx="10">
                  <c:v>0.83333299999999999</c:v>
                </c:pt>
                <c:pt idx="11">
                  <c:v>0.87666699999999997</c:v>
                </c:pt>
                <c:pt idx="12">
                  <c:v>0.92</c:v>
                </c:pt>
                <c:pt idx="13">
                  <c:v>0.96333299999999999</c:v>
                </c:pt>
                <c:pt idx="14">
                  <c:v>1.00667</c:v>
                </c:pt>
                <c:pt idx="15">
                  <c:v>1.05</c:v>
                </c:pt>
                <c:pt idx="16">
                  <c:v>1.0933299999999999</c:v>
                </c:pt>
                <c:pt idx="17">
                  <c:v>1.1366700000000001</c:v>
                </c:pt>
                <c:pt idx="18">
                  <c:v>1.18</c:v>
                </c:pt>
                <c:pt idx="19">
                  <c:v>1.22333</c:v>
                </c:pt>
                <c:pt idx="20">
                  <c:v>1.26667</c:v>
                </c:pt>
                <c:pt idx="21">
                  <c:v>1.31</c:v>
                </c:pt>
                <c:pt idx="22">
                  <c:v>1.3533299999999999</c:v>
                </c:pt>
                <c:pt idx="23">
                  <c:v>1.3966700000000001</c:v>
                </c:pt>
                <c:pt idx="24">
                  <c:v>1.44</c:v>
                </c:pt>
                <c:pt idx="25">
                  <c:v>1.48333</c:v>
                </c:pt>
                <c:pt idx="26">
                  <c:v>1.52667</c:v>
                </c:pt>
                <c:pt idx="27">
                  <c:v>1.57</c:v>
                </c:pt>
                <c:pt idx="28">
                  <c:v>1.6133299999999999</c:v>
                </c:pt>
                <c:pt idx="29">
                  <c:v>1.6566700000000001</c:v>
                </c:pt>
                <c:pt idx="30">
                  <c:v>1.7</c:v>
                </c:pt>
              </c:numCache>
            </c:numRef>
          </c:xVal>
          <c:yVal>
            <c:numRef>
              <c:f>'Prices &amp; Greeks'!$AD$10:$AD$194</c:f>
              <c:numCache>
                <c:formatCode>0.00E+00</c:formatCode>
                <c:ptCount val="185"/>
                <c:pt idx="0">
                  <c:v>7.4145400000000002E-8</c:v>
                </c:pt>
                <c:pt idx="1">
                  <c:v>1.0273399999999999E-6</c:v>
                </c:pt>
                <c:pt idx="2">
                  <c:v>8.82806E-6</c:v>
                </c:pt>
                <c:pt idx="3">
                  <c:v>5.14577E-5</c:v>
                </c:pt>
                <c:pt idx="4">
                  <c:v>2.1769199999999999E-4</c:v>
                </c:pt>
                <c:pt idx="5">
                  <c:v>7.0465700000000003E-4</c:v>
                </c:pt>
                <c:pt idx="6">
                  <c:v>1.81963E-3</c:v>
                </c:pt>
                <c:pt idx="7">
                  <c:v>3.8764699999999999E-3</c:v>
                </c:pt>
                <c:pt idx="8">
                  <c:v>7.00456E-3</c:v>
                </c:pt>
                <c:pt idx="9">
                  <c:v>1.09817E-2</c:v>
                </c:pt>
                <c:pt idx="10">
                  <c:v>1.5229899999999999E-2</c:v>
                </c:pt>
                <c:pt idx="11">
                  <c:v>1.8977999999999998E-2</c:v>
                </c:pt>
                <c:pt idx="12">
                  <c:v>2.15512E-2</c:v>
                </c:pt>
                <c:pt idx="13">
                  <c:v>2.25525E-2</c:v>
                </c:pt>
                <c:pt idx="14">
                  <c:v>2.1981400000000002E-2</c:v>
                </c:pt>
                <c:pt idx="15">
                  <c:v>2.0120699999999998E-2</c:v>
                </c:pt>
                <c:pt idx="16">
                  <c:v>1.7433799999999999E-2</c:v>
                </c:pt>
                <c:pt idx="17">
                  <c:v>1.43844E-2</c:v>
                </c:pt>
                <c:pt idx="18">
                  <c:v>1.13758E-2</c:v>
                </c:pt>
                <c:pt idx="19">
                  <c:v>8.6590599999999997E-3</c:v>
                </c:pt>
                <c:pt idx="20">
                  <c:v>6.3786199999999998E-3</c:v>
                </c:pt>
                <c:pt idx="21">
                  <c:v>4.5613700000000004E-3</c:v>
                </c:pt>
                <c:pt idx="22">
                  <c:v>3.1781600000000002E-3</c:v>
                </c:pt>
                <c:pt idx="23">
                  <c:v>2.1645900000000001E-3</c:v>
                </c:pt>
                <c:pt idx="24">
                  <c:v>1.4448200000000001E-3</c:v>
                </c:pt>
                <c:pt idx="25">
                  <c:v>9.4744999999999996E-4</c:v>
                </c:pt>
                <c:pt idx="26">
                  <c:v>6.1166599999999997E-4</c:v>
                </c:pt>
                <c:pt idx="27">
                  <c:v>3.8952099999999999E-4</c:v>
                </c:pt>
                <c:pt idx="28">
                  <c:v>2.4501999999999998E-4</c:v>
                </c:pt>
                <c:pt idx="29">
                  <c:v>1.5254E-4</c:v>
                </c:pt>
                <c:pt idx="30">
                  <c:v>9.4179599999999995E-5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F1-B546-BBF3-96B6D8244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73135"/>
        <c:axId val="1566221231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Strike</c:v>
                </c:tx>
                <c:spPr>
                  <a:ln w="1270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'Prices &amp; Greeks'!#REF!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'Prices &amp; Greeks'!$AA$14:$AA$15</c15:sqref>
                        </c15:formulaRef>
                      </c:ext>
                    </c:extLst>
                    <c:numCache>
                      <c:formatCode>0.00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1E35-4F03-80C2-67E08E21C801}"/>
                  </c:ext>
                </c:extLst>
              </c15:ser>
            </c15:filteredScatterSeries>
          </c:ext>
        </c:extLst>
      </c:scatterChart>
      <c:valAx>
        <c:axId val="1565673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'Prices &amp; Greeks'!$F$24</c:f>
              <c:strCache>
                <c:ptCount val="1"/>
                <c:pt idx="0">
                  <c:v>Moneyness *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66221231"/>
        <c:crosses val="autoZero"/>
        <c:crossBetween val="midCat"/>
      </c:valAx>
      <c:valAx>
        <c:axId val="1566221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'Prices &amp; Greeks'!$F$25</c:f>
              <c:strCache>
                <c:ptCount val="1"/>
                <c:pt idx="0">
                  <c:v>Gamma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65673135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'Optimal Exercise Boundary'!$M$6</c:f>
          <c:strCache>
            <c:ptCount val="1"/>
            <c:pt idx="0">
              <c:v>Optimal Exercise Boundary of an American Put Option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'Optimal Exercise Boundary'!$B$4:$B$104</c:f>
              <c:numCache>
                <c:formatCode>0.000</c:formatCode>
                <c:ptCount val="101"/>
                <c:pt idx="0">
                  <c:v>0.99931599999999998</c:v>
                </c:pt>
                <c:pt idx="1">
                  <c:v>0.98932200000000003</c:v>
                </c:pt>
                <c:pt idx="2">
                  <c:v>0.97932900000000001</c:v>
                </c:pt>
                <c:pt idx="3">
                  <c:v>0.96933599999999998</c:v>
                </c:pt>
                <c:pt idx="4">
                  <c:v>0.95934299999999995</c:v>
                </c:pt>
                <c:pt idx="5">
                  <c:v>0.94935000000000003</c:v>
                </c:pt>
                <c:pt idx="6">
                  <c:v>0.939357</c:v>
                </c:pt>
                <c:pt idx="7">
                  <c:v>0.92936300000000005</c:v>
                </c:pt>
                <c:pt idx="8">
                  <c:v>0.91937000000000002</c:v>
                </c:pt>
                <c:pt idx="9">
                  <c:v>0.90937699999999999</c:v>
                </c:pt>
                <c:pt idx="10">
                  <c:v>0.89938399999999996</c:v>
                </c:pt>
                <c:pt idx="11">
                  <c:v>0.88939100000000004</c:v>
                </c:pt>
                <c:pt idx="12">
                  <c:v>0.87939800000000001</c:v>
                </c:pt>
                <c:pt idx="13">
                  <c:v>0.86940499999999998</c:v>
                </c:pt>
                <c:pt idx="14">
                  <c:v>0.85941100000000004</c:v>
                </c:pt>
                <c:pt idx="15">
                  <c:v>0.84941800000000001</c:v>
                </c:pt>
                <c:pt idx="16">
                  <c:v>0.83942499999999998</c:v>
                </c:pt>
                <c:pt idx="17">
                  <c:v>0.82943199999999995</c:v>
                </c:pt>
                <c:pt idx="18">
                  <c:v>0.81943900000000003</c:v>
                </c:pt>
                <c:pt idx="19">
                  <c:v>0.809446</c:v>
                </c:pt>
                <c:pt idx="20">
                  <c:v>0.79945200000000005</c:v>
                </c:pt>
                <c:pt idx="21">
                  <c:v>0.78945900000000002</c:v>
                </c:pt>
                <c:pt idx="22">
                  <c:v>0.77946599999999999</c:v>
                </c:pt>
                <c:pt idx="23">
                  <c:v>0.76947299999999996</c:v>
                </c:pt>
                <c:pt idx="24">
                  <c:v>0.75948000000000004</c:v>
                </c:pt>
                <c:pt idx="25">
                  <c:v>0.74948700000000001</c:v>
                </c:pt>
                <c:pt idx="26">
                  <c:v>0.73949299999999996</c:v>
                </c:pt>
                <c:pt idx="27">
                  <c:v>0.72950000000000004</c:v>
                </c:pt>
                <c:pt idx="28">
                  <c:v>0.71950700000000001</c:v>
                </c:pt>
                <c:pt idx="29">
                  <c:v>0.70951399999999998</c:v>
                </c:pt>
                <c:pt idx="30">
                  <c:v>0.69952099999999995</c:v>
                </c:pt>
                <c:pt idx="31">
                  <c:v>0.68952800000000003</c:v>
                </c:pt>
                <c:pt idx="32">
                  <c:v>0.679535</c:v>
                </c:pt>
                <c:pt idx="33">
                  <c:v>0.66954100000000005</c:v>
                </c:pt>
                <c:pt idx="34">
                  <c:v>0.65954800000000002</c:v>
                </c:pt>
                <c:pt idx="35">
                  <c:v>0.64955499999999999</c:v>
                </c:pt>
                <c:pt idx="36">
                  <c:v>0.63956199999999996</c:v>
                </c:pt>
                <c:pt idx="37">
                  <c:v>0.62956900000000005</c:v>
                </c:pt>
                <c:pt idx="38">
                  <c:v>0.61957600000000002</c:v>
                </c:pt>
                <c:pt idx="39">
                  <c:v>0.60958199999999996</c:v>
                </c:pt>
                <c:pt idx="40">
                  <c:v>0.59958900000000004</c:v>
                </c:pt>
                <c:pt idx="41">
                  <c:v>0.58959600000000001</c:v>
                </c:pt>
                <c:pt idx="42">
                  <c:v>0.57960299999999998</c:v>
                </c:pt>
                <c:pt idx="43">
                  <c:v>0.56960999999999995</c:v>
                </c:pt>
                <c:pt idx="44">
                  <c:v>0.55961700000000003</c:v>
                </c:pt>
                <c:pt idx="45">
                  <c:v>0.549624</c:v>
                </c:pt>
                <c:pt idx="46">
                  <c:v>0.53963000000000005</c:v>
                </c:pt>
                <c:pt idx="47">
                  <c:v>0.52963700000000002</c:v>
                </c:pt>
                <c:pt idx="48">
                  <c:v>0.51964399999999999</c:v>
                </c:pt>
                <c:pt idx="49">
                  <c:v>0.50965099999999997</c:v>
                </c:pt>
                <c:pt idx="50">
                  <c:v>0.49965799999999999</c:v>
                </c:pt>
                <c:pt idx="51">
                  <c:v>0.48966500000000002</c:v>
                </c:pt>
                <c:pt idx="52">
                  <c:v>0.47967100000000001</c:v>
                </c:pt>
                <c:pt idx="53">
                  <c:v>0.46967799999999998</c:v>
                </c:pt>
                <c:pt idx="54">
                  <c:v>0.45968500000000001</c:v>
                </c:pt>
                <c:pt idx="55">
                  <c:v>0.44969199999999998</c:v>
                </c:pt>
                <c:pt idx="56">
                  <c:v>0.43969900000000001</c:v>
                </c:pt>
                <c:pt idx="57">
                  <c:v>0.42970599999999998</c:v>
                </c:pt>
                <c:pt idx="58">
                  <c:v>0.419713</c:v>
                </c:pt>
                <c:pt idx="59">
                  <c:v>0.409719</c:v>
                </c:pt>
                <c:pt idx="60">
                  <c:v>0.39972600000000003</c:v>
                </c:pt>
                <c:pt idx="61">
                  <c:v>0.389733</c:v>
                </c:pt>
                <c:pt idx="62">
                  <c:v>0.37974000000000002</c:v>
                </c:pt>
                <c:pt idx="63">
                  <c:v>0.36974699999999999</c:v>
                </c:pt>
                <c:pt idx="64">
                  <c:v>0.35975400000000002</c:v>
                </c:pt>
                <c:pt idx="65">
                  <c:v>0.34976000000000002</c:v>
                </c:pt>
                <c:pt idx="66">
                  <c:v>0.33976699999999999</c:v>
                </c:pt>
                <c:pt idx="67">
                  <c:v>0.32977400000000001</c:v>
                </c:pt>
                <c:pt idx="68">
                  <c:v>0.31978099999999998</c:v>
                </c:pt>
                <c:pt idx="69">
                  <c:v>0.30978800000000001</c:v>
                </c:pt>
                <c:pt idx="70">
                  <c:v>0.29979499999999998</c:v>
                </c:pt>
                <c:pt idx="71">
                  <c:v>0.289802</c:v>
                </c:pt>
                <c:pt idx="72">
                  <c:v>0.279808</c:v>
                </c:pt>
                <c:pt idx="73">
                  <c:v>0.26981500000000003</c:v>
                </c:pt>
                <c:pt idx="74">
                  <c:v>0.259822</c:v>
                </c:pt>
                <c:pt idx="75">
                  <c:v>0.249829</c:v>
                </c:pt>
                <c:pt idx="76">
                  <c:v>0.23983599999999999</c:v>
                </c:pt>
                <c:pt idx="77">
                  <c:v>0.22984299999999999</c:v>
                </c:pt>
                <c:pt idx="78">
                  <c:v>0.21984899999999999</c:v>
                </c:pt>
                <c:pt idx="79">
                  <c:v>0.20985599999999999</c:v>
                </c:pt>
                <c:pt idx="80">
                  <c:v>0.19986300000000001</c:v>
                </c:pt>
                <c:pt idx="81">
                  <c:v>0.18987000000000001</c:v>
                </c:pt>
                <c:pt idx="82">
                  <c:v>0.17987700000000001</c:v>
                </c:pt>
                <c:pt idx="83">
                  <c:v>0.16988400000000001</c:v>
                </c:pt>
                <c:pt idx="84">
                  <c:v>0.15989</c:v>
                </c:pt>
                <c:pt idx="85">
                  <c:v>0.149897</c:v>
                </c:pt>
                <c:pt idx="86">
                  <c:v>0.139904</c:v>
                </c:pt>
                <c:pt idx="87">
                  <c:v>0.129911</c:v>
                </c:pt>
                <c:pt idx="88">
                  <c:v>0.119918</c:v>
                </c:pt>
                <c:pt idx="89">
                  <c:v>0.10992499999999999</c:v>
                </c:pt>
                <c:pt idx="90">
                  <c:v>9.9931599999999995E-2</c:v>
                </c:pt>
                <c:pt idx="91">
                  <c:v>8.9938400000000002E-2</c:v>
                </c:pt>
                <c:pt idx="92">
                  <c:v>7.9945199999999994E-2</c:v>
                </c:pt>
                <c:pt idx="93">
                  <c:v>6.9952100000000003E-2</c:v>
                </c:pt>
                <c:pt idx="94">
                  <c:v>5.9958900000000002E-2</c:v>
                </c:pt>
                <c:pt idx="95">
                  <c:v>4.9965799999999998E-2</c:v>
                </c:pt>
                <c:pt idx="96">
                  <c:v>3.9972599999999997E-2</c:v>
                </c:pt>
                <c:pt idx="97">
                  <c:v>2.9979499999999999E-2</c:v>
                </c:pt>
              </c:numCache>
            </c:numRef>
          </c:xVal>
          <c:yVal>
            <c:numRef>
              <c:f>'Optimal Exercise Boundary'!$C$4:$C$104</c:f>
              <c:numCache>
                <c:formatCode>0.00</c:formatCode>
                <c:ptCount val="101"/>
                <c:pt idx="0">
                  <c:v>98.19</c:v>
                </c:pt>
                <c:pt idx="1">
                  <c:v>98.25</c:v>
                </c:pt>
                <c:pt idx="2">
                  <c:v>98.31</c:v>
                </c:pt>
                <c:pt idx="3">
                  <c:v>98.37</c:v>
                </c:pt>
                <c:pt idx="4">
                  <c:v>98.43</c:v>
                </c:pt>
                <c:pt idx="5">
                  <c:v>98.49</c:v>
                </c:pt>
                <c:pt idx="6">
                  <c:v>98.55</c:v>
                </c:pt>
                <c:pt idx="7">
                  <c:v>98.61</c:v>
                </c:pt>
                <c:pt idx="8">
                  <c:v>98.67</c:v>
                </c:pt>
                <c:pt idx="9">
                  <c:v>98.73</c:v>
                </c:pt>
                <c:pt idx="10">
                  <c:v>98.79</c:v>
                </c:pt>
                <c:pt idx="11">
                  <c:v>98.85</c:v>
                </c:pt>
                <c:pt idx="12">
                  <c:v>98.91</c:v>
                </c:pt>
                <c:pt idx="13">
                  <c:v>98.97</c:v>
                </c:pt>
                <c:pt idx="14">
                  <c:v>99.06</c:v>
                </c:pt>
                <c:pt idx="15">
                  <c:v>99.12</c:v>
                </c:pt>
                <c:pt idx="16">
                  <c:v>99.18</c:v>
                </c:pt>
                <c:pt idx="17">
                  <c:v>99.24</c:v>
                </c:pt>
                <c:pt idx="18">
                  <c:v>99.3</c:v>
                </c:pt>
                <c:pt idx="19">
                  <c:v>99.39</c:v>
                </c:pt>
                <c:pt idx="20">
                  <c:v>99.45</c:v>
                </c:pt>
                <c:pt idx="21">
                  <c:v>99.51</c:v>
                </c:pt>
                <c:pt idx="22">
                  <c:v>99.57</c:v>
                </c:pt>
                <c:pt idx="23">
                  <c:v>99.66</c:v>
                </c:pt>
                <c:pt idx="24">
                  <c:v>99.72</c:v>
                </c:pt>
                <c:pt idx="25">
                  <c:v>99.78</c:v>
                </c:pt>
                <c:pt idx="26">
                  <c:v>99.87</c:v>
                </c:pt>
                <c:pt idx="27">
                  <c:v>99.93</c:v>
                </c:pt>
                <c:pt idx="28">
                  <c:v>100.02</c:v>
                </c:pt>
                <c:pt idx="29">
                  <c:v>100.08</c:v>
                </c:pt>
                <c:pt idx="30">
                  <c:v>100.14</c:v>
                </c:pt>
                <c:pt idx="31">
                  <c:v>100.23</c:v>
                </c:pt>
                <c:pt idx="32">
                  <c:v>100.29</c:v>
                </c:pt>
                <c:pt idx="33">
                  <c:v>100.38</c:v>
                </c:pt>
                <c:pt idx="34">
                  <c:v>100.44</c:v>
                </c:pt>
                <c:pt idx="35">
                  <c:v>100.53</c:v>
                </c:pt>
                <c:pt idx="36">
                  <c:v>100.62</c:v>
                </c:pt>
                <c:pt idx="37">
                  <c:v>100.68</c:v>
                </c:pt>
                <c:pt idx="38">
                  <c:v>100.77</c:v>
                </c:pt>
                <c:pt idx="39">
                  <c:v>100.86</c:v>
                </c:pt>
                <c:pt idx="40">
                  <c:v>100.92</c:v>
                </c:pt>
                <c:pt idx="41">
                  <c:v>101.01</c:v>
                </c:pt>
                <c:pt idx="42">
                  <c:v>101.1</c:v>
                </c:pt>
                <c:pt idx="43">
                  <c:v>101.16</c:v>
                </c:pt>
                <c:pt idx="44">
                  <c:v>101.25</c:v>
                </c:pt>
                <c:pt idx="45">
                  <c:v>101.34</c:v>
                </c:pt>
                <c:pt idx="46">
                  <c:v>101.43</c:v>
                </c:pt>
                <c:pt idx="47">
                  <c:v>101.52</c:v>
                </c:pt>
                <c:pt idx="48">
                  <c:v>101.61</c:v>
                </c:pt>
                <c:pt idx="49">
                  <c:v>101.7</c:v>
                </c:pt>
                <c:pt idx="50">
                  <c:v>101.79</c:v>
                </c:pt>
                <c:pt idx="51">
                  <c:v>101.88</c:v>
                </c:pt>
                <c:pt idx="52">
                  <c:v>101.97</c:v>
                </c:pt>
                <c:pt idx="53">
                  <c:v>102.06</c:v>
                </c:pt>
                <c:pt idx="54">
                  <c:v>102.15</c:v>
                </c:pt>
                <c:pt idx="55">
                  <c:v>102.27</c:v>
                </c:pt>
                <c:pt idx="56">
                  <c:v>102.36</c:v>
                </c:pt>
                <c:pt idx="57">
                  <c:v>102.45</c:v>
                </c:pt>
                <c:pt idx="58">
                  <c:v>102.57</c:v>
                </c:pt>
                <c:pt idx="59">
                  <c:v>102.66</c:v>
                </c:pt>
                <c:pt idx="60">
                  <c:v>102.78</c:v>
                </c:pt>
                <c:pt idx="61">
                  <c:v>102.87</c:v>
                </c:pt>
                <c:pt idx="62">
                  <c:v>102.99</c:v>
                </c:pt>
                <c:pt idx="63">
                  <c:v>103.11</c:v>
                </c:pt>
                <c:pt idx="64">
                  <c:v>103.2</c:v>
                </c:pt>
                <c:pt idx="65">
                  <c:v>103.32</c:v>
                </c:pt>
                <c:pt idx="66">
                  <c:v>103.44</c:v>
                </c:pt>
                <c:pt idx="67">
                  <c:v>103.56</c:v>
                </c:pt>
                <c:pt idx="68">
                  <c:v>103.68</c:v>
                </c:pt>
                <c:pt idx="69">
                  <c:v>103.8</c:v>
                </c:pt>
                <c:pt idx="70">
                  <c:v>103.95</c:v>
                </c:pt>
                <c:pt idx="71">
                  <c:v>104.07</c:v>
                </c:pt>
                <c:pt idx="72">
                  <c:v>104.19</c:v>
                </c:pt>
                <c:pt idx="73">
                  <c:v>104.34</c:v>
                </c:pt>
                <c:pt idx="74">
                  <c:v>104.46</c:v>
                </c:pt>
                <c:pt idx="75">
                  <c:v>104.61</c:v>
                </c:pt>
                <c:pt idx="76">
                  <c:v>104.76</c:v>
                </c:pt>
                <c:pt idx="77">
                  <c:v>104.91</c:v>
                </c:pt>
                <c:pt idx="78">
                  <c:v>105.06</c:v>
                </c:pt>
                <c:pt idx="79">
                  <c:v>105.24</c:v>
                </c:pt>
                <c:pt idx="80">
                  <c:v>105.39</c:v>
                </c:pt>
                <c:pt idx="81">
                  <c:v>105.57</c:v>
                </c:pt>
                <c:pt idx="82">
                  <c:v>105.72</c:v>
                </c:pt>
                <c:pt idx="83">
                  <c:v>105.93</c:v>
                </c:pt>
                <c:pt idx="84">
                  <c:v>106.11</c:v>
                </c:pt>
                <c:pt idx="85">
                  <c:v>106.29</c:v>
                </c:pt>
                <c:pt idx="86">
                  <c:v>106.5</c:v>
                </c:pt>
                <c:pt idx="87">
                  <c:v>106.71</c:v>
                </c:pt>
                <c:pt idx="88">
                  <c:v>106.92</c:v>
                </c:pt>
                <c:pt idx="89">
                  <c:v>107.16</c:v>
                </c:pt>
                <c:pt idx="90">
                  <c:v>107.4</c:v>
                </c:pt>
                <c:pt idx="91">
                  <c:v>107.67</c:v>
                </c:pt>
                <c:pt idx="92">
                  <c:v>107.94</c:v>
                </c:pt>
                <c:pt idx="93">
                  <c:v>108.21</c:v>
                </c:pt>
                <c:pt idx="94">
                  <c:v>108.54</c:v>
                </c:pt>
                <c:pt idx="95">
                  <c:v>108.87</c:v>
                </c:pt>
                <c:pt idx="96">
                  <c:v>109.23</c:v>
                </c:pt>
                <c:pt idx="97" formatCode="0.000">
                  <c:v>109.62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B1-4820-8A2A-681AE4B2B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335119"/>
        <c:axId val="1453335599"/>
      </c:scatterChart>
      <c:valAx>
        <c:axId val="1453335119"/>
        <c:scaling>
          <c:orientation val="maxMin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200"/>
                  <a:t>Time</a:t>
                </a:r>
                <a:r>
                  <a:rPr lang="es-ES" sz="1200" baseline="0"/>
                  <a:t> to maturity (years)</a:t>
                </a:r>
                <a:endParaRPr lang="es-E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53335599"/>
        <c:crosses val="autoZero"/>
        <c:crossBetween val="midCat"/>
      </c:valAx>
      <c:valAx>
        <c:axId val="145333559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200"/>
                  <a:t>Spot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533351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Price Relative Error as a function of n and k</a:t>
            </a:r>
          </a:p>
        </c:rich>
      </c:tx>
      <c:layout>
        <c:manualLayout>
          <c:xMode val="edge"/>
          <c:yMode val="edge"/>
          <c:x val="0.30625819483052058"/>
          <c:y val="2.957864813239288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15"/>
      <c:rotY val="125"/>
      <c:rAngAx val="0"/>
    </c:view3D>
    <c:floor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/>
      </c:spPr>
    </c:floor>
    <c:sideWall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0608908376851713E-2"/>
          <c:y val="0.13152478597062994"/>
          <c:w val="0.8402625447299148"/>
          <c:h val="0.78499789378179574"/>
        </c:manualLayout>
      </c:layout>
      <c:surface3DChart>
        <c:wireframe val="0"/>
        <c:ser>
          <c:idx val="0"/>
          <c:order val="0"/>
          <c:tx>
            <c:strRef>
              <c:f>'Error-time with n and k'!$T$5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1">
                <a:shade val="47000"/>
              </a:schemeClr>
            </a:solidFill>
            <a:ln/>
            <a:effectLst/>
            <a:sp3d/>
          </c:spPr>
          <c:cat>
            <c:numRef>
              <c:f>'Error-time with n and k'!$U$4:$AA$4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k'!$U$5:$AA$5</c:f>
              <c:numCache>
                <c:formatCode>0%</c:formatCode>
                <c:ptCount val="7"/>
                <c:pt idx="0">
                  <c:v>0.43912600000000002</c:v>
                </c:pt>
                <c:pt idx="1">
                  <c:v>0.216168</c:v>
                </c:pt>
                <c:pt idx="2">
                  <c:v>7.5782199999999994E-2</c:v>
                </c:pt>
                <c:pt idx="3">
                  <c:v>3.2332E-2</c:v>
                </c:pt>
                <c:pt idx="4">
                  <c:v>1.7976800000000001E-2</c:v>
                </c:pt>
                <c:pt idx="5">
                  <c:v>1.34158E-2</c:v>
                </c:pt>
                <c:pt idx="6">
                  <c:v>1.19674E-2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38-41AF-AD98-6476365A81D2}"/>
            </c:ext>
          </c:extLst>
        </c:ser>
        <c:ser>
          <c:idx val="1"/>
          <c:order val="1"/>
          <c:tx>
            <c:strRef>
              <c:f>'Error-time with n and k'!$T$6</c:f>
              <c:strCache>
                <c:ptCount val="1"/>
                <c:pt idx="0">
                  <c:v>31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/>
            <a:effectLst/>
            <a:sp3d/>
          </c:spPr>
          <c:cat>
            <c:numRef>
              <c:f>'Error-time with n and k'!$U$4:$AA$4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k'!$U$6:$AA$6</c:f>
              <c:numCache>
                <c:formatCode>0%</c:formatCode>
                <c:ptCount val="7"/>
                <c:pt idx="0">
                  <c:v>0.43795899999999999</c:v>
                </c:pt>
                <c:pt idx="1">
                  <c:v>0.210508</c:v>
                </c:pt>
                <c:pt idx="2">
                  <c:v>6.8724499999999994E-2</c:v>
                </c:pt>
                <c:pt idx="3">
                  <c:v>2.4872499999999999E-2</c:v>
                </c:pt>
                <c:pt idx="4">
                  <c:v>1.04052E-2</c:v>
                </c:pt>
                <c:pt idx="5">
                  <c:v>5.8095500000000001E-3</c:v>
                </c:pt>
                <c:pt idx="6">
                  <c:v>4.3503200000000004E-3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38-41AF-AD98-6476365A81D2}"/>
            </c:ext>
          </c:extLst>
        </c:ser>
        <c:ser>
          <c:idx val="2"/>
          <c:order val="2"/>
          <c:tx>
            <c:strRef>
              <c:f>'Error-time with n and k'!$T$7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1">
                <a:shade val="82000"/>
              </a:schemeClr>
            </a:solidFill>
            <a:ln/>
            <a:effectLst/>
            <a:sp3d/>
          </c:spPr>
          <c:cat>
            <c:numRef>
              <c:f>'Error-time with n and k'!$U$4:$AA$4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k'!$U$7:$AA$7</c:f>
              <c:numCache>
                <c:formatCode>0%</c:formatCode>
                <c:ptCount val="7"/>
                <c:pt idx="0">
                  <c:v>0.43757299999999999</c:v>
                </c:pt>
                <c:pt idx="1">
                  <c:v>0.20860000000000001</c:v>
                </c:pt>
                <c:pt idx="2">
                  <c:v>6.6372200000000006E-2</c:v>
                </c:pt>
                <c:pt idx="3">
                  <c:v>2.2391600000000001E-2</c:v>
                </c:pt>
                <c:pt idx="4">
                  <c:v>7.8884799999999998E-3</c:v>
                </c:pt>
                <c:pt idx="5">
                  <c:v>3.28174E-3</c:v>
                </c:pt>
                <c:pt idx="6">
                  <c:v>1.81905E-3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38-41AF-AD98-6476365A81D2}"/>
            </c:ext>
          </c:extLst>
        </c:ser>
        <c:ser>
          <c:idx val="3"/>
          <c:order val="3"/>
          <c:tx>
            <c:strRef>
              <c:f>'Error-time with n and k'!$T$8</c:f>
              <c:strCache>
                <c:ptCount val="1"/>
                <c:pt idx="0">
                  <c:v>316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'Error-time with n and k'!$U$4:$AA$4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k'!$U$8:$AA$8</c:f>
              <c:numCache>
                <c:formatCode>0%</c:formatCode>
                <c:ptCount val="7"/>
                <c:pt idx="0">
                  <c:v>0.43745400000000001</c:v>
                </c:pt>
                <c:pt idx="1">
                  <c:v>0.20801</c:v>
                </c:pt>
                <c:pt idx="2">
                  <c:v>6.5646700000000002E-2</c:v>
                </c:pt>
                <c:pt idx="3">
                  <c:v>2.1626900000000001E-2</c:v>
                </c:pt>
                <c:pt idx="4">
                  <c:v>7.1128800000000002E-3</c:v>
                </c:pt>
                <c:pt idx="5">
                  <c:v>2.5027600000000001E-3</c:v>
                </c:pt>
                <c:pt idx="6">
                  <c:v>1.0390099999999999E-3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38-41AF-AD98-6476365A81D2}"/>
            </c:ext>
          </c:extLst>
        </c:ser>
        <c:ser>
          <c:idx val="4"/>
          <c:order val="4"/>
          <c:tx>
            <c:strRef>
              <c:f>'Error-time with n and k'!$T$9</c:f>
              <c:strCache>
                <c:ptCount val="1"/>
                <c:pt idx="0">
                  <c:v>1000</c:v>
                </c:pt>
              </c:strCache>
            </c:strRef>
          </c:tx>
          <c:spPr>
            <a:solidFill>
              <a:schemeClr val="accent1">
                <a:tint val="83000"/>
              </a:schemeClr>
            </a:solidFill>
            <a:ln/>
            <a:effectLst/>
            <a:sp3d/>
          </c:spPr>
          <c:cat>
            <c:numRef>
              <c:f>'Error-time with n and k'!$U$4:$AA$4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k'!$U$9:$AA$9</c:f>
              <c:numCache>
                <c:formatCode>0%</c:formatCode>
                <c:ptCount val="7"/>
                <c:pt idx="0">
                  <c:v>0.437417</c:v>
                </c:pt>
                <c:pt idx="1">
                  <c:v>0.20782300000000001</c:v>
                </c:pt>
                <c:pt idx="2">
                  <c:v>6.5416600000000005E-2</c:v>
                </c:pt>
                <c:pt idx="3">
                  <c:v>2.1384500000000001E-2</c:v>
                </c:pt>
                <c:pt idx="4">
                  <c:v>6.8670099999999998E-3</c:v>
                </c:pt>
                <c:pt idx="5">
                  <c:v>2.25582E-3</c:v>
                </c:pt>
                <c:pt idx="6">
                  <c:v>7.9174400000000004E-4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38-41AF-AD98-6476365A81D2}"/>
            </c:ext>
          </c:extLst>
        </c:ser>
        <c:ser>
          <c:idx val="5"/>
          <c:order val="5"/>
          <c:tx>
            <c:strRef>
              <c:f>'Error-time with n and k'!$T$10</c:f>
              <c:strCache>
                <c:ptCount val="1"/>
                <c:pt idx="0">
                  <c:v>3162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/>
            <a:effectLst/>
            <a:sp3d/>
          </c:spPr>
          <c:cat>
            <c:numRef>
              <c:f>'Error-time with n and k'!$U$4:$AA$4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k'!$U$10:$AA$10</c:f>
              <c:numCache>
                <c:formatCode>0%</c:formatCode>
                <c:ptCount val="7"/>
                <c:pt idx="0">
                  <c:v>0.43740499999999999</c:v>
                </c:pt>
                <c:pt idx="1">
                  <c:v>0.207763</c:v>
                </c:pt>
                <c:pt idx="2">
                  <c:v>6.5343899999999996E-2</c:v>
                </c:pt>
                <c:pt idx="3">
                  <c:v>2.1307900000000001E-2</c:v>
                </c:pt>
                <c:pt idx="4">
                  <c:v>6.7893099999999998E-3</c:v>
                </c:pt>
                <c:pt idx="5">
                  <c:v>2.1777900000000002E-3</c:v>
                </c:pt>
                <c:pt idx="6">
                  <c:v>7.1361099999999995E-4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5038-41AF-AD98-6476365A81D2}"/>
            </c:ext>
          </c:extLst>
        </c:ser>
        <c:ser>
          <c:idx val="6"/>
          <c:order val="6"/>
          <c:tx>
            <c:strRef>
              <c:f>'Error-time with n and k'!$T$11</c:f>
              <c:strCache>
                <c:ptCount val="1"/>
                <c:pt idx="0">
                  <c:v>10000</c:v>
                </c:pt>
              </c:strCache>
            </c:strRef>
          </c:tx>
          <c:spPr>
            <a:solidFill>
              <a:schemeClr val="accent1">
                <a:tint val="48000"/>
              </a:schemeClr>
            </a:solidFill>
            <a:ln/>
            <a:effectLst/>
            <a:sp3d/>
          </c:spPr>
          <c:cat>
            <c:numRef>
              <c:f>'Error-time with n and k'!$U$4:$AA$4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k'!$U$11:$AA$11</c:f>
              <c:numCache>
                <c:formatCode>0%</c:formatCode>
                <c:ptCount val="7"/>
                <c:pt idx="0">
                  <c:v>0.43740099999999998</c:v>
                </c:pt>
                <c:pt idx="1">
                  <c:v>0.20774500000000001</c:v>
                </c:pt>
                <c:pt idx="2">
                  <c:v>6.5320900000000001E-2</c:v>
                </c:pt>
                <c:pt idx="3">
                  <c:v>2.1283699999999999E-2</c:v>
                </c:pt>
                <c:pt idx="4">
                  <c:v>6.76474E-3</c:v>
                </c:pt>
                <c:pt idx="5">
                  <c:v>2.1531100000000002E-3</c:v>
                </c:pt>
                <c:pt idx="6">
                  <c:v>6.8889600000000004E-4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5038-41AF-AD98-6476365A81D2}"/>
            </c:ext>
          </c:extLst>
        </c:ser>
        <c:bandFmts>
          <c:bandFmt>
            <c:idx val="0"/>
            <c:spPr>
              <a:solidFill>
                <a:schemeClr val="accent1">
                  <a:shade val="42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5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68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80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shade val="9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94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81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69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56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18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5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92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0"/>
                </a:schemeClr>
              </a:solidFill>
              <a:ln/>
              <a:effectLst/>
              <a:sp3d/>
            </c:spPr>
          </c:bandFmt>
        </c:bandFmts>
        <c:axId val="119472255"/>
        <c:axId val="119466975"/>
        <c:axId val="1526010991"/>
      </c:surface3DChart>
      <c:catAx>
        <c:axId val="1194722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400"/>
                  <a:t># of spot steps (n)</a:t>
                </a:r>
              </a:p>
            </c:rich>
          </c:tx>
          <c:layout>
            <c:manualLayout>
              <c:xMode val="edge"/>
              <c:yMode val="edge"/>
              <c:x val="0.77430493387496702"/>
              <c:y val="0.8036399137693679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9466975"/>
        <c:crosses val="autoZero"/>
        <c:auto val="1"/>
        <c:lblAlgn val="ctr"/>
        <c:lblOffset val="100"/>
        <c:noMultiLvlLbl val="0"/>
      </c:catAx>
      <c:valAx>
        <c:axId val="1194669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400"/>
                  <a:t>PDE Price Relatie</a:t>
                </a:r>
                <a:r>
                  <a:rPr lang="es-ES" sz="1400" baseline="0"/>
                  <a:t> Error</a:t>
                </a:r>
                <a:endParaRPr lang="es-ES" sz="1400"/>
              </a:p>
            </c:rich>
          </c:tx>
          <c:layout>
            <c:manualLayout>
              <c:xMode val="edge"/>
              <c:yMode val="edge"/>
              <c:x val="0.93574875754638553"/>
              <c:y val="0.3401382431410457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9472255"/>
        <c:crosses val="autoZero"/>
        <c:crossBetween val="midCat"/>
      </c:valAx>
      <c:serAx>
        <c:axId val="15260109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400"/>
                  <a:t># of time </a:t>
                </a:r>
                <a:r>
                  <a:rPr lang="es-ES" sz="1400" baseline="0"/>
                  <a:t>steps (k</a:t>
                </a:r>
                <a:r>
                  <a:rPr lang="es-ES" sz="1400"/>
                  <a:t>)</a:t>
                </a:r>
              </a:p>
            </c:rich>
          </c:tx>
          <c:layout>
            <c:manualLayout>
              <c:xMode val="edge"/>
              <c:yMode val="edge"/>
              <c:x val="0.13085528951442485"/>
              <c:y val="0.88125059905280723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9466975"/>
        <c:crosses val="autoZero"/>
      </c:serAx>
      <c:spPr>
        <a:noFill/>
        <a:ln>
          <a:noFill/>
        </a:ln>
        <a:effectLst/>
      </c:spPr>
    </c:plotArea>
    <c:plotVisOnly val="0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Time consumed as a function of n and k</a:t>
            </a:r>
          </a:p>
        </c:rich>
      </c:tx>
      <c:layout>
        <c:manualLayout>
          <c:xMode val="edge"/>
          <c:yMode val="edge"/>
          <c:x val="0.30625819483052058"/>
          <c:y val="2.957864813239288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15"/>
      <c:rotY val="305"/>
      <c:rAngAx val="0"/>
    </c:view3D>
    <c:floor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/>
      </c:spPr>
    </c:floor>
    <c:sideWall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588257716488701E-2"/>
          <c:y val="9.3987257341098043E-2"/>
          <c:w val="0.8402625447299148"/>
          <c:h val="0.78499789378179574"/>
        </c:manualLayout>
      </c:layout>
      <c:surface3DChart>
        <c:wireframe val="0"/>
        <c:ser>
          <c:idx val="0"/>
          <c:order val="0"/>
          <c:tx>
            <c:strRef>
              <c:f>'Error-time with n and k'!$T$15</c:f>
              <c:strCache>
                <c:ptCount val="1"/>
                <c:pt idx="0">
                  <c:v>10</c:v>
                </c:pt>
              </c:strCache>
            </c:strRef>
          </c:tx>
          <c:cat>
            <c:numRef>
              <c:f>'Error-time with n and k'!$U$14:$AA$14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k'!$U$15:$AA$15</c:f>
              <c:numCache>
                <c:formatCode>General</c:formatCode>
                <c:ptCount val="7"/>
                <c:pt idx="0">
                  <c:v>9.1799999999999995E-5</c:v>
                </c:pt>
                <c:pt idx="1">
                  <c:v>7.4900000000000005E-5</c:v>
                </c:pt>
                <c:pt idx="2">
                  <c:v>1.3190000000000001E-4</c:v>
                </c:pt>
                <c:pt idx="3">
                  <c:v>3.3940000000000001E-4</c:v>
                </c:pt>
                <c:pt idx="4">
                  <c:v>1.0241E-3</c:v>
                </c:pt>
                <c:pt idx="5">
                  <c:v>3.1202000000000001E-3</c:v>
                </c:pt>
                <c:pt idx="6">
                  <c:v>1.34263E-2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67-4E51-8A6A-037B931D410B}"/>
            </c:ext>
          </c:extLst>
        </c:ser>
        <c:ser>
          <c:idx val="1"/>
          <c:order val="1"/>
          <c:tx>
            <c:strRef>
              <c:f>'Error-time with n and k'!$T$16</c:f>
              <c:strCache>
                <c:ptCount val="1"/>
                <c:pt idx="0">
                  <c:v>31</c:v>
                </c:pt>
              </c:strCache>
            </c:strRef>
          </c:tx>
          <c:cat>
            <c:numRef>
              <c:f>'Error-time with n and k'!$U$14:$AA$14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k'!$U$16:$AA$16</c:f>
              <c:numCache>
                <c:formatCode>General</c:formatCode>
                <c:ptCount val="7"/>
                <c:pt idx="0">
                  <c:v>7.8399999999999995E-5</c:v>
                </c:pt>
                <c:pt idx="1">
                  <c:v>1.239E-4</c:v>
                </c:pt>
                <c:pt idx="2">
                  <c:v>5.7779999999999995E-4</c:v>
                </c:pt>
                <c:pt idx="3">
                  <c:v>9.0970000000000005E-4</c:v>
                </c:pt>
                <c:pt idx="4">
                  <c:v>3.3057999999999998E-3</c:v>
                </c:pt>
                <c:pt idx="5">
                  <c:v>1.1742900000000001E-2</c:v>
                </c:pt>
                <c:pt idx="6">
                  <c:v>3.4073300000000001E-2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67-4E51-8A6A-037B931D410B}"/>
            </c:ext>
          </c:extLst>
        </c:ser>
        <c:ser>
          <c:idx val="2"/>
          <c:order val="2"/>
          <c:tx>
            <c:strRef>
              <c:f>'Error-time with n and k'!$T$17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'Error-time with n and k'!$U$14:$AA$14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k'!$U$17:$AA$17</c:f>
              <c:numCache>
                <c:formatCode>General</c:formatCode>
                <c:ptCount val="7"/>
                <c:pt idx="0">
                  <c:v>1.996E-4</c:v>
                </c:pt>
                <c:pt idx="1">
                  <c:v>3.7179999999999998E-4</c:v>
                </c:pt>
                <c:pt idx="2">
                  <c:v>1.1077999999999999E-3</c:v>
                </c:pt>
                <c:pt idx="3">
                  <c:v>3.0081000000000001E-3</c:v>
                </c:pt>
                <c:pt idx="4">
                  <c:v>1.1032500000000001E-2</c:v>
                </c:pt>
                <c:pt idx="5">
                  <c:v>2.8757000000000001E-2</c:v>
                </c:pt>
                <c:pt idx="6">
                  <c:v>9.7502599999999995E-2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67-4E51-8A6A-037B931D410B}"/>
            </c:ext>
          </c:extLst>
        </c:ser>
        <c:ser>
          <c:idx val="3"/>
          <c:order val="3"/>
          <c:tx>
            <c:strRef>
              <c:f>'Error-time with n and k'!$T$18</c:f>
              <c:strCache>
                <c:ptCount val="1"/>
                <c:pt idx="0">
                  <c:v>316</c:v>
                </c:pt>
              </c:strCache>
            </c:strRef>
          </c:tx>
          <c:cat>
            <c:numRef>
              <c:f>'Error-time with n and k'!$U$14:$AA$14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k'!$U$18:$AA$18</c:f>
              <c:numCache>
                <c:formatCode>General</c:formatCode>
                <c:ptCount val="7"/>
                <c:pt idx="0">
                  <c:v>6.0090000000000002E-4</c:v>
                </c:pt>
                <c:pt idx="1">
                  <c:v>1.1326999999999999E-3</c:v>
                </c:pt>
                <c:pt idx="2">
                  <c:v>3.4757E-3</c:v>
                </c:pt>
                <c:pt idx="3">
                  <c:v>9.6913999999999993E-3</c:v>
                </c:pt>
                <c:pt idx="4">
                  <c:v>2.7746799999999999E-2</c:v>
                </c:pt>
                <c:pt idx="5">
                  <c:v>9.2583899999999997E-2</c:v>
                </c:pt>
                <c:pt idx="6">
                  <c:v>0.32954899999999998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67-4E51-8A6A-037B931D410B}"/>
            </c:ext>
          </c:extLst>
        </c:ser>
        <c:ser>
          <c:idx val="4"/>
          <c:order val="4"/>
          <c:tx>
            <c:strRef>
              <c:f>'Error-time with n and k'!$T$19</c:f>
              <c:strCache>
                <c:ptCount val="1"/>
                <c:pt idx="0">
                  <c:v>1000</c:v>
                </c:pt>
              </c:strCache>
            </c:strRef>
          </c:tx>
          <c:cat>
            <c:numRef>
              <c:f>'Error-time with n and k'!$U$14:$AA$14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k'!$U$19:$AA$19</c:f>
              <c:numCache>
                <c:formatCode>General</c:formatCode>
                <c:ptCount val="7"/>
                <c:pt idx="0">
                  <c:v>1.9218E-3</c:v>
                </c:pt>
                <c:pt idx="1">
                  <c:v>4.2258E-3</c:v>
                </c:pt>
                <c:pt idx="2">
                  <c:v>1.61537E-2</c:v>
                </c:pt>
                <c:pt idx="3">
                  <c:v>3.10694E-2</c:v>
                </c:pt>
                <c:pt idx="4">
                  <c:v>9.3986399999999998E-2</c:v>
                </c:pt>
                <c:pt idx="5">
                  <c:v>0.28954600000000003</c:v>
                </c:pt>
                <c:pt idx="6">
                  <c:v>1.2458199999999999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67-4E51-8A6A-037B931D410B}"/>
            </c:ext>
          </c:extLst>
        </c:ser>
        <c:ser>
          <c:idx val="5"/>
          <c:order val="5"/>
          <c:tx>
            <c:strRef>
              <c:f>'Error-time with n and k'!$T$20</c:f>
              <c:strCache>
                <c:ptCount val="1"/>
                <c:pt idx="0">
                  <c:v>3162</c:v>
                </c:pt>
              </c:strCache>
            </c:strRef>
          </c:tx>
          <c:cat>
            <c:numRef>
              <c:f>'Error-time with n and k'!$U$14:$AA$14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k'!$U$20:$AA$20</c:f>
              <c:numCache>
                <c:formatCode>General</c:formatCode>
                <c:ptCount val="7"/>
                <c:pt idx="0">
                  <c:v>8.7264000000000005E-3</c:v>
                </c:pt>
                <c:pt idx="1">
                  <c:v>1.40722E-2</c:v>
                </c:pt>
                <c:pt idx="2">
                  <c:v>3.2094900000000003E-2</c:v>
                </c:pt>
                <c:pt idx="3">
                  <c:v>0.114283</c:v>
                </c:pt>
                <c:pt idx="4">
                  <c:v>0.281165</c:v>
                </c:pt>
                <c:pt idx="5">
                  <c:v>0.97087299999999999</c:v>
                </c:pt>
                <c:pt idx="6">
                  <c:v>3.93831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A67-4E51-8A6A-037B931D410B}"/>
            </c:ext>
          </c:extLst>
        </c:ser>
        <c:ser>
          <c:idx val="6"/>
          <c:order val="6"/>
          <c:tx>
            <c:strRef>
              <c:f>'Error-time with n and k'!$T$21</c:f>
              <c:strCache>
                <c:ptCount val="1"/>
                <c:pt idx="0">
                  <c:v>10000</c:v>
                </c:pt>
              </c:strCache>
            </c:strRef>
          </c:tx>
          <c:cat>
            <c:numRef>
              <c:f>'Error-time with n and k'!$U$14:$AA$14</c:f>
              <c:numCache>
                <c:formatCode>General</c:formatCode>
                <c:ptCount val="7"/>
                <c:pt idx="0">
                  <c:v>10</c:v>
                </c:pt>
                <c:pt idx="1">
                  <c:v>31</c:v>
                </c:pt>
                <c:pt idx="2">
                  <c:v>100</c:v>
                </c:pt>
                <c:pt idx="3">
                  <c:v>316</c:v>
                </c:pt>
                <c:pt idx="4">
                  <c:v>1000</c:v>
                </c:pt>
                <c:pt idx="5">
                  <c:v>3162</c:v>
                </c:pt>
                <c:pt idx="6">
                  <c:v>10000</c:v>
                </c:pt>
              </c:numCache>
            </c:numRef>
          </c:cat>
          <c:val>
            <c:numRef>
              <c:f>'Error-time with n and k'!$U$21:$AA$21</c:f>
              <c:numCache>
                <c:formatCode>General</c:formatCode>
                <c:ptCount val="7"/>
                <c:pt idx="0">
                  <c:v>2.7996699999999999E-2</c:v>
                </c:pt>
                <c:pt idx="1">
                  <c:v>7.2007399999999999E-2</c:v>
                </c:pt>
                <c:pt idx="2">
                  <c:v>0.10248599999999999</c:v>
                </c:pt>
                <c:pt idx="3">
                  <c:v>0.30385600000000001</c:v>
                </c:pt>
                <c:pt idx="4">
                  <c:v>0.86760999999999999</c:v>
                </c:pt>
                <c:pt idx="5">
                  <c:v>3.23665</c:v>
                </c:pt>
                <c:pt idx="6">
                  <c:v>17.1187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A67-4E51-8A6A-037B931D410B}"/>
            </c:ext>
          </c:extLst>
        </c:ser>
        <c:bandFmts>
          <c:bandFmt>
            <c:idx val="7"/>
            <c:spPr>
              <a:solidFill>
                <a:schemeClr val="accent1">
                  <a:tint val="69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56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18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5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92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0"/>
                </a:schemeClr>
              </a:solidFill>
              <a:ln/>
              <a:effectLst/>
              <a:sp3d/>
            </c:spPr>
          </c:bandFmt>
        </c:bandFmts>
        <c:axId val="119472255"/>
        <c:axId val="119466975"/>
        <c:axId val="1526010991"/>
      </c:surface3DChart>
      <c:catAx>
        <c:axId val="1194722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400"/>
                  <a:t># of spot steps (n)</a:t>
                </a:r>
              </a:p>
            </c:rich>
          </c:tx>
          <c:layout>
            <c:manualLayout>
              <c:xMode val="edge"/>
              <c:yMode val="edge"/>
              <c:x val="0.77430493387496702"/>
              <c:y val="0.8036399137693679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9466975"/>
        <c:crosses val="autoZero"/>
        <c:auto val="1"/>
        <c:lblAlgn val="ctr"/>
        <c:lblOffset val="100"/>
        <c:noMultiLvlLbl val="0"/>
      </c:catAx>
      <c:valAx>
        <c:axId val="11946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t" anchorCtr="1"/>
              <a:lstStyle/>
              <a:p>
                <a:pPr>
                  <a:defRPr sz="1400" b="0"/>
                </a:pPr>
                <a:r>
                  <a:rPr lang="es-ES" sz="1400" b="0"/>
                  <a:t>Time Consumed</a:t>
                </a:r>
                <a:r>
                  <a:rPr lang="es-ES" sz="1400" b="0" baseline="0"/>
                  <a:t> (s)</a:t>
                </a:r>
                <a:endParaRPr lang="es-ES" sz="1400" b="0"/>
              </a:p>
            </c:rich>
          </c:tx>
          <c:layout>
            <c:manualLayout>
              <c:xMode val="edge"/>
              <c:yMode val="edge"/>
              <c:x val="1.2287636730341516E-2"/>
              <c:y val="0.32612737693308391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9472255"/>
        <c:crosses val="autoZero"/>
        <c:crossBetween val="midCat"/>
      </c:valAx>
      <c:serAx>
        <c:axId val="15260109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400"/>
                  <a:t># of time</a:t>
                </a:r>
                <a:r>
                  <a:rPr lang="es-ES" sz="1400" baseline="0"/>
                  <a:t> steps (k</a:t>
                </a:r>
                <a:r>
                  <a:rPr lang="es-ES" sz="1400"/>
                  <a:t>)</a:t>
                </a:r>
              </a:p>
            </c:rich>
          </c:tx>
          <c:layout>
            <c:manualLayout>
              <c:xMode val="edge"/>
              <c:yMode val="edge"/>
              <c:x val="0.13085528951442485"/>
              <c:y val="0.88125059905280723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9466975"/>
        <c:crosses val="autoZero"/>
      </c:serAx>
    </c:plotArea>
    <c:plotVisOnly val="0"/>
    <c:dispBlanksAs val="zero"/>
    <c:showDLblsOverMax val="0"/>
    <c:extLst/>
  </c:chart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1/relationships/webextension" Target="../webextensions/webextension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</xdr:colOff>
          <xdr:row>8</xdr:row>
          <xdr:rowOff>137160</xdr:rowOff>
        </xdr:from>
        <xdr:to>
          <xdr:col>8</xdr:col>
          <xdr:colOff>1005840</xdr:colOff>
          <xdr:row>10</xdr:row>
          <xdr:rowOff>114300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Aptos Narrow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445704</xdr:colOff>
      <xdr:row>16</xdr:row>
      <xdr:rowOff>144179</xdr:rowOff>
    </xdr:from>
    <xdr:to>
      <xdr:col>11</xdr:col>
      <xdr:colOff>73334</xdr:colOff>
      <xdr:row>29</xdr:row>
      <xdr:rowOff>15240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BE08306-BABF-6E4B-A155-863ED0423F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279295</xdr:colOff>
      <xdr:row>16</xdr:row>
      <xdr:rowOff>162866</xdr:rowOff>
    </xdr:from>
    <xdr:to>
      <xdr:col>15</xdr:col>
      <xdr:colOff>729615</xdr:colOff>
      <xdr:row>29</xdr:row>
      <xdr:rowOff>22860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42468B4-9C5A-B329-8EDC-4D86DA3B80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1055370</xdr:colOff>
      <xdr:row>14</xdr:row>
      <xdr:rowOff>173355</xdr:rowOff>
    </xdr:from>
    <xdr:to>
      <xdr:col>8</xdr:col>
      <xdr:colOff>521970</xdr:colOff>
      <xdr:row>25</xdr:row>
      <xdr:rowOff>22860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Calendar" hidden="1">
              <a:extLst>
                <a:ext uri="{FF2B5EF4-FFF2-40B4-BE49-F238E27FC236}">
                  <a16:creationId xmlns:a16="http://schemas.microsoft.com/office/drawing/2014/main" id="{23538870-126B-F0F1-38E5-6E05F6C162B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"/>
            </a:graphicData>
          </a:graphic>
        </xdr:graphicFrame>
      </mc:Choice>
      <mc:Fallback>
        <xdr:pic>
          <xdr:nvPicPr>
            <xdr:cNvPr id="2" name="Calendar">
              <a:extLst>
                <a:ext uri="{FF2B5EF4-FFF2-40B4-BE49-F238E27FC236}">
                  <a16:creationId xmlns:a16="http://schemas.microsoft.com/office/drawing/2014/main" id="{23538870-126B-F0F1-38E5-6E05F6C162B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93532</xdr:colOff>
      <xdr:row>1</xdr:row>
      <xdr:rowOff>188179</xdr:rowOff>
    </xdr:from>
    <xdr:to>
      <xdr:col>9</xdr:col>
      <xdr:colOff>608975</xdr:colOff>
      <xdr:row>21</xdr:row>
      <xdr:rowOff>140532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E045B35-670D-58B0-1AD7-E8D424FC16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765591</xdr:colOff>
      <xdr:row>2</xdr:row>
      <xdr:rowOff>422402</xdr:rowOff>
    </xdr:from>
    <xdr:ext cx="1465359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651389EF-F796-9535-EB0C-CE690C1492D7}"/>
            </a:ext>
          </a:extLst>
        </xdr:cNvPr>
        <xdr:cNvSpPr txBox="1"/>
      </xdr:nvSpPr>
      <xdr:spPr>
        <a:xfrm>
          <a:off x="6878767" y="836193"/>
          <a:ext cx="1465359" cy="43678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ES" sz="1100" kern="1200"/>
            <a:t>Exercise region for </a:t>
          </a:r>
          <a:r>
            <a:rPr lang="es-ES" sz="1100" b="1" kern="1200"/>
            <a:t>Call</a:t>
          </a:r>
        </a:p>
        <a:p>
          <a:pPr algn="ctr"/>
          <a:r>
            <a:rPr lang="es-ES" sz="1100" kern="1200"/>
            <a:t>Hold</a:t>
          </a:r>
          <a:r>
            <a:rPr lang="es-ES" sz="1100" kern="1200" baseline="0"/>
            <a:t> region for </a:t>
          </a:r>
          <a:r>
            <a:rPr lang="es-ES" sz="1100" b="1" kern="1200" baseline="0"/>
            <a:t>Put</a:t>
          </a:r>
          <a:endParaRPr lang="es-ES" sz="1100" b="1" kern="1200"/>
        </a:p>
      </xdr:txBody>
    </xdr:sp>
    <xdr:clientData/>
  </xdr:oneCellAnchor>
  <xdr:oneCellAnchor>
    <xdr:from>
      <xdr:col>5</xdr:col>
      <xdr:colOff>253060</xdr:colOff>
      <xdr:row>16</xdr:row>
      <xdr:rowOff>108644</xdr:rowOff>
    </xdr:from>
    <xdr:ext cx="1465359" cy="43678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50520187-59C8-4CDC-87FD-2B47A12A77EA}"/>
            </a:ext>
          </a:extLst>
        </xdr:cNvPr>
        <xdr:cNvSpPr txBox="1"/>
      </xdr:nvSpPr>
      <xdr:spPr>
        <a:xfrm>
          <a:off x="6366236" y="3629771"/>
          <a:ext cx="1465359" cy="436786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ES" sz="1100" kern="1200"/>
            <a:t>Hold region for </a:t>
          </a:r>
          <a:r>
            <a:rPr lang="es-ES" sz="1100" b="1" kern="1200"/>
            <a:t>Call</a:t>
          </a:r>
        </a:p>
        <a:p>
          <a:pPr algn="ctr"/>
          <a:r>
            <a:rPr lang="es-ES" sz="1100" kern="1200"/>
            <a:t>Exercise</a:t>
          </a:r>
          <a:r>
            <a:rPr lang="es-ES" sz="1100" kern="1200" baseline="0"/>
            <a:t> region for </a:t>
          </a:r>
          <a:r>
            <a:rPr lang="es-ES" sz="1100" b="1" kern="1200" baseline="0"/>
            <a:t>Put</a:t>
          </a:r>
          <a:endParaRPr lang="es-ES" sz="1100" b="1" kern="12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226692</xdr:colOff>
      <xdr:row>2</xdr:row>
      <xdr:rowOff>58881</xdr:rowOff>
    </xdr:from>
    <xdr:to>
      <xdr:col>34</xdr:col>
      <xdr:colOff>723900</xdr:colOff>
      <xdr:row>27</xdr:row>
      <xdr:rowOff>152400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C7B1334-B584-35B7-A29E-2A0EA371C0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15760</xdr:colOff>
      <xdr:row>2</xdr:row>
      <xdr:rowOff>55243</xdr:rowOff>
    </xdr:from>
    <xdr:to>
      <xdr:col>44</xdr:col>
      <xdr:colOff>590550</xdr:colOff>
      <xdr:row>27</xdr:row>
      <xdr:rowOff>129540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4AD0446-C9D4-471B-94A5-F3921AD259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s Mireles" refreshedDate="45630.842934722219" createdVersion="8" refreshedVersion="8" minRefreshableVersion="3" recordCount="49" xr:uid="{BA6C09BB-9A64-4D82-B4FA-C7E00E4EC63E}">
  <cacheSource type="worksheet">
    <worksheetSource ref="B2:E51" sheet="Error-time with n and k"/>
  </cacheSource>
  <cacheFields count="4">
    <cacheField name="n" numFmtId="0">
      <sharedItems containsSemiMixedTypes="0" containsString="0" containsNumber="1" containsInteger="1" minValue="10" maxValue="10000" count="7">
        <n v="10"/>
        <n v="31"/>
        <n v="100"/>
        <n v="316"/>
        <n v="1000"/>
        <n v="3162"/>
        <n v="10000"/>
      </sharedItems>
    </cacheField>
    <cacheField name="k" numFmtId="0">
      <sharedItems containsSemiMixedTypes="0" containsString="0" containsNumber="1" containsInteger="1" minValue="10" maxValue="10000" count="7">
        <n v="10"/>
        <n v="31"/>
        <n v="100"/>
        <n v="316"/>
        <n v="1000"/>
        <n v="3162"/>
        <n v="10000"/>
      </sharedItems>
    </cacheField>
    <cacheField name="Relative PDE Error" numFmtId="0">
      <sharedItems containsSemiMixedTypes="0" containsString="0" containsNumber="1" minValue="6.8889600000000004E-4" maxValue="0.43912600000000002"/>
    </cacheField>
    <cacheField name="Time Taken" numFmtId="0">
      <sharedItems containsSemiMixedTypes="0" containsString="0" containsNumber="1" minValue="7.4900000000000005E-5" maxValue="17.11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x v="0"/>
    <x v="0"/>
    <n v="0.43912600000000002"/>
    <n v="9.1799999999999995E-5"/>
  </r>
  <r>
    <x v="0"/>
    <x v="1"/>
    <n v="0.43795899999999999"/>
    <n v="7.8399999999999995E-5"/>
  </r>
  <r>
    <x v="0"/>
    <x v="2"/>
    <n v="0.43757299999999999"/>
    <n v="1.996E-4"/>
  </r>
  <r>
    <x v="0"/>
    <x v="3"/>
    <n v="0.43745400000000001"/>
    <n v="6.0090000000000002E-4"/>
  </r>
  <r>
    <x v="0"/>
    <x v="4"/>
    <n v="0.437417"/>
    <n v="1.9218E-3"/>
  </r>
  <r>
    <x v="0"/>
    <x v="5"/>
    <n v="0.43740499999999999"/>
    <n v="8.7264000000000005E-3"/>
  </r>
  <r>
    <x v="0"/>
    <x v="6"/>
    <n v="0.43740099999999998"/>
    <n v="2.7996699999999999E-2"/>
  </r>
  <r>
    <x v="1"/>
    <x v="0"/>
    <n v="0.216168"/>
    <n v="7.4900000000000005E-5"/>
  </r>
  <r>
    <x v="1"/>
    <x v="1"/>
    <n v="0.210508"/>
    <n v="1.239E-4"/>
  </r>
  <r>
    <x v="1"/>
    <x v="2"/>
    <n v="0.20860000000000001"/>
    <n v="3.7179999999999998E-4"/>
  </r>
  <r>
    <x v="1"/>
    <x v="3"/>
    <n v="0.20801"/>
    <n v="1.1326999999999999E-3"/>
  </r>
  <r>
    <x v="1"/>
    <x v="4"/>
    <n v="0.20782300000000001"/>
    <n v="4.2258E-3"/>
  </r>
  <r>
    <x v="1"/>
    <x v="5"/>
    <n v="0.207763"/>
    <n v="1.40722E-2"/>
  </r>
  <r>
    <x v="1"/>
    <x v="6"/>
    <n v="0.20774500000000001"/>
    <n v="7.2007399999999999E-2"/>
  </r>
  <r>
    <x v="2"/>
    <x v="0"/>
    <n v="7.5782199999999994E-2"/>
    <n v="1.3190000000000001E-4"/>
  </r>
  <r>
    <x v="2"/>
    <x v="1"/>
    <n v="6.8724499999999994E-2"/>
    <n v="5.7779999999999995E-4"/>
  </r>
  <r>
    <x v="2"/>
    <x v="2"/>
    <n v="6.6372200000000006E-2"/>
    <n v="1.1077999999999999E-3"/>
  </r>
  <r>
    <x v="2"/>
    <x v="3"/>
    <n v="6.5646700000000002E-2"/>
    <n v="3.4757E-3"/>
  </r>
  <r>
    <x v="2"/>
    <x v="4"/>
    <n v="6.5416600000000005E-2"/>
    <n v="1.61537E-2"/>
  </r>
  <r>
    <x v="2"/>
    <x v="5"/>
    <n v="6.5343899999999996E-2"/>
    <n v="3.2094900000000003E-2"/>
  </r>
  <r>
    <x v="2"/>
    <x v="6"/>
    <n v="6.5320900000000001E-2"/>
    <n v="0.10248599999999999"/>
  </r>
  <r>
    <x v="3"/>
    <x v="0"/>
    <n v="3.2332E-2"/>
    <n v="3.3940000000000001E-4"/>
  </r>
  <r>
    <x v="3"/>
    <x v="1"/>
    <n v="2.4872499999999999E-2"/>
    <n v="9.0970000000000005E-4"/>
  </r>
  <r>
    <x v="3"/>
    <x v="2"/>
    <n v="2.2391600000000001E-2"/>
    <n v="3.0081000000000001E-3"/>
  </r>
  <r>
    <x v="3"/>
    <x v="3"/>
    <n v="2.1626900000000001E-2"/>
    <n v="9.6913999999999993E-3"/>
  </r>
  <r>
    <x v="3"/>
    <x v="4"/>
    <n v="2.1384500000000001E-2"/>
    <n v="3.10694E-2"/>
  </r>
  <r>
    <x v="3"/>
    <x v="5"/>
    <n v="2.1307900000000001E-2"/>
    <n v="0.114283"/>
  </r>
  <r>
    <x v="3"/>
    <x v="6"/>
    <n v="2.1283699999999999E-2"/>
    <n v="0.30385600000000001"/>
  </r>
  <r>
    <x v="4"/>
    <x v="0"/>
    <n v="1.7976800000000001E-2"/>
    <n v="1.0241E-3"/>
  </r>
  <r>
    <x v="4"/>
    <x v="1"/>
    <n v="1.04052E-2"/>
    <n v="3.3057999999999998E-3"/>
  </r>
  <r>
    <x v="4"/>
    <x v="2"/>
    <n v="7.8884799999999998E-3"/>
    <n v="1.1032500000000001E-2"/>
  </r>
  <r>
    <x v="4"/>
    <x v="3"/>
    <n v="7.1128800000000002E-3"/>
    <n v="2.7746799999999999E-2"/>
  </r>
  <r>
    <x v="4"/>
    <x v="4"/>
    <n v="6.8670099999999998E-3"/>
    <n v="9.3986399999999998E-2"/>
  </r>
  <r>
    <x v="4"/>
    <x v="5"/>
    <n v="6.7893099999999998E-3"/>
    <n v="0.281165"/>
  </r>
  <r>
    <x v="4"/>
    <x v="6"/>
    <n v="6.76474E-3"/>
    <n v="0.86760999999999999"/>
  </r>
  <r>
    <x v="5"/>
    <x v="0"/>
    <n v="1.34158E-2"/>
    <n v="3.1202000000000001E-3"/>
  </r>
  <r>
    <x v="5"/>
    <x v="1"/>
    <n v="5.8095500000000001E-3"/>
    <n v="1.1742900000000001E-2"/>
  </r>
  <r>
    <x v="5"/>
    <x v="2"/>
    <n v="3.28174E-3"/>
    <n v="2.8757000000000001E-2"/>
  </r>
  <r>
    <x v="5"/>
    <x v="3"/>
    <n v="2.5027600000000001E-3"/>
    <n v="9.2583899999999997E-2"/>
  </r>
  <r>
    <x v="5"/>
    <x v="4"/>
    <n v="2.25582E-3"/>
    <n v="0.28954600000000003"/>
  </r>
  <r>
    <x v="5"/>
    <x v="5"/>
    <n v="2.1777900000000002E-3"/>
    <n v="0.97087299999999999"/>
  </r>
  <r>
    <x v="5"/>
    <x v="6"/>
    <n v="2.1531100000000002E-3"/>
    <n v="3.23665"/>
  </r>
  <r>
    <x v="6"/>
    <x v="0"/>
    <n v="1.19674E-2"/>
    <n v="1.34263E-2"/>
  </r>
  <r>
    <x v="6"/>
    <x v="1"/>
    <n v="4.3503200000000004E-3"/>
    <n v="3.4073300000000001E-2"/>
  </r>
  <r>
    <x v="6"/>
    <x v="2"/>
    <n v="1.81905E-3"/>
    <n v="9.7502599999999995E-2"/>
  </r>
  <r>
    <x v="6"/>
    <x v="3"/>
    <n v="1.0390099999999999E-3"/>
    <n v="0.32954899999999998"/>
  </r>
  <r>
    <x v="6"/>
    <x v="4"/>
    <n v="7.9174400000000004E-4"/>
    <n v="1.2458199999999999"/>
  </r>
  <r>
    <x v="6"/>
    <x v="5"/>
    <n v="7.1361099999999995E-4"/>
    <n v="3.93831"/>
  </r>
  <r>
    <x v="6"/>
    <x v="6"/>
    <n v="6.8889600000000004E-4"/>
    <n v="17.118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085A3-DD3E-4AD3-BC8F-4A6E544277A8}" name="TablaDinámica1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>
  <location ref="H14:P23" firstHeaderRow="1" firstDataRow="2" firstDataCol="1"/>
  <pivotFields count="4"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dataField="1"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Average Time Taken" fld="3" subtotal="average" baseField="1" baseItem="0"/>
  </dataFields>
  <formats count="1">
    <format dxfId="0">
      <pivotArea collapsedLevelsAreSubtotals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A4FB82-CC20-411D-9641-6A7F3B512D57}" name="TablaDinámica1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>
  <location ref="H2:P11" firstHeaderRow="1" firstDataRow="2" firstDataCol="1"/>
  <pivotFields count="4"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  <pivotField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Average Relative PDE Error" fld="2" subtotal="average" baseField="1" baseItem="0"/>
  </dataFields>
  <formats count="1">
    <format dxfId="1">
      <pivotArea collapsedLevelsAreSubtotals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webextension1.xml><?xml version="1.0" encoding="utf-8"?>
<we:webextension xmlns:we="http://schemas.microsoft.com/office/webextensions/webextension/2010/11" id="{23538870-126B-F0F1-38E5-6E05F6C162B0}">
  <we:reference id="wa102957665" version="1.3.0.0" store="es-ES" storeType="OMEX"/>
  <we:alternateReferences>
    <we:reference id="WA102957665" version="1.3.0.0" store="WA102957665" storeType="OMEX"/>
  </we:alternateReferences>
  <we:properties>
    <we:property name="opt_month" value="&quot;2025-03-01&quot;"/>
  </we:properties>
  <we:bindings/>
  <we:snapshot xmlns:r="http://schemas.openxmlformats.org/officeDocument/2006/relationships" r:embed="rId1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0256B-E284-584F-BBD7-4C7A548DED5A}">
  <sheetPr codeName="Sheet1"/>
  <dimension ref="E1:AD645"/>
  <sheetViews>
    <sheetView topLeftCell="A3" zoomScale="85" zoomScaleNormal="85" workbookViewId="0">
      <selection activeCell="F23" sqref="F23"/>
    </sheetView>
  </sheetViews>
  <sheetFormatPr baseColWidth="10" defaultRowHeight="15.6"/>
  <cols>
    <col min="2" max="2" width="0" hidden="1" customWidth="1"/>
    <col min="5" max="5" width="26.3984375" customWidth="1"/>
    <col min="6" max="6" width="14" customWidth="1"/>
    <col min="7" max="7" width="11.3984375" bestFit="1" customWidth="1"/>
    <col min="8" max="8" width="11.69921875" customWidth="1"/>
    <col min="9" max="9" width="14.09765625" customWidth="1"/>
    <col min="10" max="10" width="9.59765625" customWidth="1"/>
    <col min="11" max="11" width="14.3984375" customWidth="1"/>
    <col min="12" max="12" width="13.69921875" customWidth="1"/>
    <col min="13" max="13" width="11.3984375" bestFit="1" customWidth="1"/>
    <col min="14" max="14" width="12.69921875" bestFit="1" customWidth="1"/>
    <col min="15" max="15" width="13" customWidth="1"/>
    <col min="16" max="16" width="11.09765625" customWidth="1"/>
    <col min="17" max="17" width="22.19921875" hidden="1" customWidth="1"/>
    <col min="18" max="18" width="14.8984375" hidden="1" customWidth="1"/>
    <col min="19" max="19" width="8.5" hidden="1" customWidth="1"/>
    <col min="20" max="20" width="11.3984375" hidden="1" customWidth="1"/>
    <col min="21" max="21" width="8.09765625" hidden="1" customWidth="1"/>
    <col min="22" max="22" width="7.59765625" hidden="1" customWidth="1"/>
    <col min="23" max="23" width="4" hidden="1" customWidth="1"/>
    <col min="25" max="30" width="0" hidden="1" customWidth="1"/>
  </cols>
  <sheetData>
    <row r="1" spans="5:30" hidden="1"/>
    <row r="2" spans="5:30" ht="31.2" hidden="1" customHeight="1"/>
    <row r="3" spans="5:30" ht="21.6" customHeight="1" thickBot="1"/>
    <row r="4" spans="5:30" ht="24.6" customHeight="1">
      <c r="E4" s="7" t="s">
        <v>52</v>
      </c>
      <c r="F4" s="8"/>
      <c r="G4" s="9"/>
      <c r="H4" s="9"/>
      <c r="I4" s="10"/>
      <c r="R4" s="1" t="s">
        <v>1</v>
      </c>
      <c r="S4" t="s">
        <v>4</v>
      </c>
      <c r="T4" t="s">
        <v>5</v>
      </c>
    </row>
    <row r="5" spans="5:30" ht="22.2" customHeight="1">
      <c r="E5" s="11" t="s">
        <v>39</v>
      </c>
      <c r="F5" s="37"/>
      <c r="G5" s="38"/>
      <c r="H5" s="38"/>
      <c r="I5" s="12"/>
      <c r="R5" s="1" t="s">
        <v>2</v>
      </c>
      <c r="S5" s="1" t="s">
        <v>7</v>
      </c>
      <c r="T5" t="s">
        <v>6</v>
      </c>
      <c r="Y5" t="s">
        <v>8</v>
      </c>
      <c r="Z5" t="s">
        <v>17</v>
      </c>
    </row>
    <row r="6" spans="5:30" ht="33.6" customHeight="1" thickBot="1">
      <c r="E6" s="13" t="s">
        <v>20</v>
      </c>
      <c r="F6" s="14"/>
      <c r="G6" s="14"/>
      <c r="H6" s="14"/>
      <c r="I6" s="15"/>
      <c r="K6" s="58"/>
      <c r="R6" t="s">
        <v>21</v>
      </c>
      <c r="S6" t="s">
        <v>18</v>
      </c>
      <c r="T6" t="s">
        <v>22</v>
      </c>
      <c r="U6" t="s">
        <v>23</v>
      </c>
      <c r="V6" t="s">
        <v>25</v>
      </c>
      <c r="W6" t="s">
        <v>24</v>
      </c>
      <c r="X6" s="22"/>
      <c r="Y6" s="22">
        <v>0</v>
      </c>
      <c r="Z6" s="22">
        <v>0</v>
      </c>
    </row>
    <row r="7" spans="5:30">
      <c r="R7" t="s">
        <v>26</v>
      </c>
      <c r="S7" t="s">
        <v>16</v>
      </c>
      <c r="T7" s="5" t="s">
        <v>60</v>
      </c>
      <c r="U7" t="s">
        <v>28</v>
      </c>
      <c r="V7" t="s">
        <v>27</v>
      </c>
      <c r="X7" s="22"/>
      <c r="Y7" s="22">
        <v>0</v>
      </c>
      <c r="Z7" s="22">
        <v>0</v>
      </c>
    </row>
    <row r="8" spans="5:30" hidden="1">
      <c r="X8" s="22"/>
      <c r="Y8" s="22">
        <v>0</v>
      </c>
      <c r="Z8" s="22">
        <v>0</v>
      </c>
    </row>
    <row r="9" spans="5:30" ht="16.2" thickBot="1">
      <c r="X9" s="22"/>
      <c r="Y9" s="22">
        <v>0</v>
      </c>
      <c r="Z9" s="22">
        <v>0</v>
      </c>
      <c r="AB9" t="s">
        <v>19</v>
      </c>
      <c r="AC9" t="s">
        <v>8</v>
      </c>
      <c r="AD9" t="s">
        <v>17</v>
      </c>
    </row>
    <row r="10" spans="5:30" ht="21.6" thickBot="1">
      <c r="E10" s="82" t="s">
        <v>0</v>
      </c>
      <c r="F10" s="83"/>
      <c r="G10" s="1"/>
      <c r="K10" s="34" t="s">
        <v>3</v>
      </c>
      <c r="L10" s="35" t="s">
        <v>43</v>
      </c>
      <c r="M10" s="35" t="s">
        <v>42</v>
      </c>
      <c r="N10" s="35" t="s">
        <v>41</v>
      </c>
      <c r="O10" s="36" t="s">
        <v>44</v>
      </c>
      <c r="X10" s="22"/>
      <c r="Y10" s="22">
        <v>0</v>
      </c>
      <c r="Z10" s="22">
        <v>0</v>
      </c>
      <c r="AB10">
        <v>0.4</v>
      </c>
      <c r="AC10" s="3">
        <v>63.524799999999999</v>
      </c>
      <c r="AD10" s="3">
        <v>7.4145400000000002E-8</v>
      </c>
    </row>
    <row r="11" spans="5:30">
      <c r="E11" s="43" t="s">
        <v>1</v>
      </c>
      <c r="F11" s="59" t="s">
        <v>5</v>
      </c>
      <c r="G11" s="2"/>
      <c r="K11" s="31" t="s">
        <v>8</v>
      </c>
      <c r="L11" s="55">
        <v>10.4194</v>
      </c>
      <c r="M11" s="55">
        <v>10.4253</v>
      </c>
      <c r="N11" s="32">
        <v>5.9452100000000003E-3</v>
      </c>
      <c r="O11" s="33">
        <v>5.7059299999999999E-4</v>
      </c>
      <c r="X11" s="22"/>
      <c r="Y11" s="22">
        <v>2.0806700000000001E-4</v>
      </c>
      <c r="Z11" s="22">
        <v>1.1045800000000001E-4</v>
      </c>
      <c r="AB11">
        <v>0.44333299999999998</v>
      </c>
      <c r="AC11" s="3">
        <v>59.013599999999997</v>
      </c>
      <c r="AD11" s="3">
        <v>1.0273399999999999E-6</v>
      </c>
    </row>
    <row r="12" spans="5:30">
      <c r="E12" s="49" t="s">
        <v>32</v>
      </c>
      <c r="F12" s="23" t="s">
        <v>7</v>
      </c>
      <c r="G12" s="1"/>
      <c r="K12" s="17" t="s">
        <v>18</v>
      </c>
      <c r="L12" s="56">
        <v>-0.60035099999999997</v>
      </c>
      <c r="M12" s="56">
        <v>-0.60146599999999995</v>
      </c>
      <c r="N12" s="16">
        <v>-1.1154800000000001E-3</v>
      </c>
      <c r="O12" s="20">
        <v>1.85805E-3</v>
      </c>
      <c r="X12" s="22"/>
      <c r="Y12" s="22">
        <v>9.2164299999999994E-3</v>
      </c>
      <c r="Z12" s="22">
        <v>3.0517500000000002E-3</v>
      </c>
      <c r="AB12">
        <v>0.48666700000000002</v>
      </c>
      <c r="AC12" s="3">
        <v>54.502400000000002</v>
      </c>
      <c r="AD12" s="3">
        <v>8.82806E-6</v>
      </c>
    </row>
    <row r="13" spans="5:30">
      <c r="E13" s="49" t="s">
        <v>36</v>
      </c>
      <c r="F13" s="52">
        <v>46092</v>
      </c>
      <c r="G13" s="1"/>
      <c r="K13" s="17" t="s">
        <v>22</v>
      </c>
      <c r="L13" s="56">
        <v>2.24105E-2</v>
      </c>
      <c r="M13" s="56">
        <v>2.2434099999999998E-2</v>
      </c>
      <c r="N13" s="16">
        <v>2.3556900000000001E-5</v>
      </c>
      <c r="O13" s="20">
        <v>1.05115E-3</v>
      </c>
      <c r="Q13" t="str">
        <f>CONCATENATE(F11, " Price vs ", IF(F24="Moneyness *", "Moneyness", F24))</f>
        <v>Put Price vs Moneyness</v>
      </c>
      <c r="X13" s="22"/>
      <c r="Y13" s="22">
        <v>0.128001</v>
      </c>
      <c r="Z13" s="22">
        <v>2.9745600000000001E-2</v>
      </c>
      <c r="AB13">
        <v>0.53</v>
      </c>
      <c r="AC13" s="3">
        <v>49.991500000000002</v>
      </c>
      <c r="AD13" s="3">
        <v>5.14577E-5</v>
      </c>
    </row>
    <row r="14" spans="5:30">
      <c r="E14" s="49" t="s">
        <v>34</v>
      </c>
      <c r="F14" s="25">
        <v>110</v>
      </c>
      <c r="G14" s="1"/>
      <c r="K14" s="17" t="s">
        <v>25</v>
      </c>
      <c r="L14" s="56">
        <v>-8.6561299999999999E-4</v>
      </c>
      <c r="M14" s="56">
        <v>-8.7092799999999998E-4</v>
      </c>
      <c r="N14" s="16">
        <v>-5.3146300000000003E-6</v>
      </c>
      <c r="O14" s="20">
        <v>6.1397300000000004E-3</v>
      </c>
      <c r="Q14" t="str">
        <f>_xlfn.CONCAT(F11, " ",F25," vs ", IF(F24="Moneyness *", "Moneyness", F24))</f>
        <v>Put Gamma vs Moneyness</v>
      </c>
      <c r="X14" s="22"/>
      <c r="Y14" s="22">
        <v>0.81297200000000003</v>
      </c>
      <c r="Z14" s="22">
        <v>0.13225600000000001</v>
      </c>
      <c r="AA14" s="22">
        <f>MIN(H64:H135)</f>
        <v>0</v>
      </c>
      <c r="AB14">
        <v>0.57333299999999998</v>
      </c>
      <c r="AC14" s="3">
        <v>45.481900000000003</v>
      </c>
      <c r="AD14" s="3">
        <v>2.1769199999999999E-4</v>
      </c>
    </row>
    <row r="15" spans="5:30">
      <c r="E15" s="49" t="s">
        <v>35</v>
      </c>
      <c r="F15" s="52">
        <v>45727</v>
      </c>
      <c r="G15" s="1"/>
      <c r="K15" s="17" t="s">
        <v>23</v>
      </c>
      <c r="L15" s="56">
        <v>0.380718</v>
      </c>
      <c r="M15" s="56">
        <v>0.37965300000000002</v>
      </c>
      <c r="N15" s="16">
        <v>-1.06528E-3</v>
      </c>
      <c r="O15" s="20">
        <v>-2.79809E-3</v>
      </c>
      <c r="X15" s="22"/>
      <c r="Y15" s="22">
        <v>2.9656600000000002</v>
      </c>
      <c r="Z15" s="22">
        <v>0.33698</v>
      </c>
      <c r="AA15" s="22">
        <f>MAX(H64:H135)</f>
        <v>0</v>
      </c>
      <c r="AB15">
        <v>0.61666699999999997</v>
      </c>
      <c r="AC15" s="3">
        <v>40.9773</v>
      </c>
      <c r="AD15" s="3">
        <v>7.0465700000000003E-4</v>
      </c>
    </row>
    <row r="16" spans="5:30" ht="16.2" thickBot="1">
      <c r="E16" s="49" t="s">
        <v>33</v>
      </c>
      <c r="F16" s="25">
        <v>100</v>
      </c>
      <c r="G16" s="1"/>
      <c r="I16" s="58"/>
      <c r="K16" s="18" t="s">
        <v>24</v>
      </c>
      <c r="L16" s="57">
        <v>-0.70406199999999997</v>
      </c>
      <c r="M16" s="57">
        <v>-0.70364499999999996</v>
      </c>
      <c r="N16" s="19">
        <v>4.1707199999999999E-4</v>
      </c>
      <c r="O16" s="21">
        <v>-5.9237899999999997E-4</v>
      </c>
      <c r="X16" s="22"/>
      <c r="Y16" s="22">
        <v>7.3333000000000004</v>
      </c>
      <c r="Z16" s="22">
        <v>0.58396499999999996</v>
      </c>
      <c r="AB16">
        <v>0.66</v>
      </c>
      <c r="AC16" s="3">
        <v>36.488399999999999</v>
      </c>
      <c r="AD16" s="3">
        <v>1.81963E-3</v>
      </c>
    </row>
    <row r="17" spans="5:30">
      <c r="E17" s="49" t="s">
        <v>40</v>
      </c>
      <c r="F17" s="26">
        <v>0.17</v>
      </c>
      <c r="G17" s="1"/>
      <c r="X17" s="22"/>
      <c r="Y17" s="22">
        <v>13.8818</v>
      </c>
      <c r="Z17" s="22">
        <v>0.78563700000000003</v>
      </c>
      <c r="AB17">
        <v>0.70333299999999999</v>
      </c>
      <c r="AC17" s="3">
        <v>32.038899999999998</v>
      </c>
      <c r="AD17" s="3">
        <v>3.8764699999999999E-3</v>
      </c>
    </row>
    <row r="18" spans="5:30">
      <c r="E18" s="49" t="s">
        <v>30</v>
      </c>
      <c r="F18" s="27">
        <v>10000</v>
      </c>
      <c r="G18" s="1"/>
      <c r="X18" s="22"/>
      <c r="Y18" s="22">
        <v>21.964099999999998</v>
      </c>
      <c r="Z18" s="22">
        <v>0.90730900000000003</v>
      </c>
      <c r="AB18">
        <v>0.74666699999999997</v>
      </c>
      <c r="AC18" s="3">
        <v>27.671800000000001</v>
      </c>
      <c r="AD18" s="3">
        <v>7.00456E-3</v>
      </c>
    </row>
    <row r="19" spans="5:30">
      <c r="E19" s="49" t="s">
        <v>31</v>
      </c>
      <c r="F19" s="27">
        <v>100</v>
      </c>
      <c r="X19" s="22"/>
      <c r="Y19" s="22">
        <v>30.874500000000001</v>
      </c>
      <c r="Z19" s="22">
        <v>0.96537799999999996</v>
      </c>
      <c r="AB19">
        <v>0.79</v>
      </c>
      <c r="AC19" s="3">
        <v>23.451499999999999</v>
      </c>
      <c r="AD19" s="3">
        <v>1.09817E-2</v>
      </c>
    </row>
    <row r="20" spans="5:30">
      <c r="E20" s="49" t="s">
        <v>29</v>
      </c>
      <c r="F20" s="28">
        <v>0.01</v>
      </c>
      <c r="N20" s="4"/>
      <c r="X20" s="22"/>
      <c r="Y20" s="22">
        <v>40.148499999999999</v>
      </c>
      <c r="Z20" s="22">
        <v>0.98850300000000002</v>
      </c>
      <c r="AB20">
        <v>0.83333299999999999</v>
      </c>
      <c r="AC20" s="3">
        <v>19.459800000000001</v>
      </c>
      <c r="AD20" s="3">
        <v>1.5229899999999999E-2</v>
      </c>
    </row>
    <row r="21" spans="5:30">
      <c r="E21" s="49" t="s">
        <v>37</v>
      </c>
      <c r="F21" s="28">
        <v>0.04</v>
      </c>
      <c r="L21" s="3"/>
      <c r="X21" s="22"/>
      <c r="Y21" s="22">
        <v>49.558500000000002</v>
      </c>
      <c r="Z21" s="22">
        <v>0.99651500000000004</v>
      </c>
      <c r="AB21">
        <v>0.87666699999999997</v>
      </c>
      <c r="AC21" s="3">
        <v>15.7835</v>
      </c>
      <c r="AD21" s="3">
        <v>1.8977999999999998E-2</v>
      </c>
    </row>
    <row r="22" spans="5:30" ht="16.2" thickBot="1">
      <c r="E22" s="50" t="s">
        <v>38</v>
      </c>
      <c r="F22" s="60">
        <v>0.05</v>
      </c>
      <c r="L22" s="3"/>
      <c r="X22" s="22"/>
      <c r="Y22" s="22">
        <v>59.013500000000001</v>
      </c>
      <c r="Z22" s="22">
        <v>0.99901099999999998</v>
      </c>
      <c r="AB22">
        <v>0.92</v>
      </c>
      <c r="AC22" s="3">
        <v>12.4993</v>
      </c>
      <c r="AD22" s="3">
        <v>2.15512E-2</v>
      </c>
    </row>
    <row r="23" spans="5:30" ht="16.2" thickBot="1">
      <c r="E23" s="51"/>
      <c r="L23" s="3"/>
      <c r="X23" s="22"/>
      <c r="Y23" s="22">
        <v>68.481999999999999</v>
      </c>
      <c r="Z23" s="22">
        <v>0.99972899999999998</v>
      </c>
      <c r="AB23">
        <v>0.96333299999999999</v>
      </c>
      <c r="AC23" s="3">
        <v>9.6599500000000003</v>
      </c>
      <c r="AD23" s="3">
        <v>2.25525E-2</v>
      </c>
    </row>
    <row r="24" spans="5:30">
      <c r="E24" s="43" t="s">
        <v>15</v>
      </c>
      <c r="F24" s="30" t="s">
        <v>60</v>
      </c>
      <c r="L24" s="3"/>
      <c r="X24" s="22"/>
      <c r="Y24" s="22">
        <v>77.9542</v>
      </c>
      <c r="Z24" s="22">
        <v>0.99992300000000001</v>
      </c>
      <c r="AB24">
        <v>1.00667</v>
      </c>
      <c r="AC24" s="3">
        <v>7.28634</v>
      </c>
      <c r="AD24" s="3">
        <v>2.1981400000000002E-2</v>
      </c>
    </row>
    <row r="25" spans="5:30">
      <c r="E25" s="49" t="s">
        <v>17</v>
      </c>
      <c r="F25" s="24" t="s">
        <v>22</v>
      </c>
      <c r="L25" s="3"/>
      <c r="X25" s="22"/>
      <c r="Y25" s="22">
        <v>87.427499999999995</v>
      </c>
      <c r="Z25" s="22">
        <v>0.999973</v>
      </c>
      <c r="AB25">
        <v>1.05</v>
      </c>
      <c r="AC25" s="3">
        <v>5.36707</v>
      </c>
      <c r="AD25" s="3">
        <v>2.0120699999999998E-2</v>
      </c>
    </row>
    <row r="26" spans="5:30">
      <c r="E26" s="49" t="s">
        <v>12</v>
      </c>
      <c r="F26" s="24">
        <v>0.4</v>
      </c>
      <c r="L26" s="3"/>
      <c r="AB26">
        <v>1.0933299999999999</v>
      </c>
      <c r="AC26">
        <v>3.8642799999999999</v>
      </c>
      <c r="AD26" s="3">
        <v>1.7433799999999999E-2</v>
      </c>
    </row>
    <row r="27" spans="5:30">
      <c r="E27" s="49" t="s">
        <v>13</v>
      </c>
      <c r="F27" s="24">
        <v>1.7</v>
      </c>
      <c r="AB27">
        <v>1.1366700000000001</v>
      </c>
      <c r="AC27">
        <v>2.72289</v>
      </c>
      <c r="AD27" s="3">
        <v>1.43844E-2</v>
      </c>
    </row>
    <row r="28" spans="5:30" ht="16.2" thickBot="1">
      <c r="E28" s="50" t="s">
        <v>14</v>
      </c>
      <c r="F28" s="6">
        <v>31</v>
      </c>
      <c r="AB28">
        <v>1.18</v>
      </c>
      <c r="AC28">
        <v>1.88029</v>
      </c>
      <c r="AD28" s="3">
        <v>1.13758E-2</v>
      </c>
    </row>
    <row r="29" spans="5:30">
      <c r="AB29">
        <v>1.22333</v>
      </c>
      <c r="AC29" s="3">
        <v>1.2743800000000001</v>
      </c>
      <c r="AD29" s="3">
        <v>8.6590599999999997E-3</v>
      </c>
    </row>
    <row r="30" spans="5:30">
      <c r="AB30">
        <v>1.26667</v>
      </c>
      <c r="AC30" s="3">
        <v>0.84900699999999996</v>
      </c>
      <c r="AD30" s="3">
        <v>6.3786199999999998E-3</v>
      </c>
    </row>
    <row r="31" spans="5:30">
      <c r="E31" t="s">
        <v>61</v>
      </c>
      <c r="AB31">
        <v>1.31</v>
      </c>
      <c r="AC31" s="3">
        <v>0.55682600000000004</v>
      </c>
      <c r="AD31" s="3">
        <v>4.5613700000000004E-3</v>
      </c>
    </row>
    <row r="32" spans="5:30">
      <c r="AB32">
        <v>1.3533299999999999</v>
      </c>
      <c r="AC32" s="3">
        <v>0.36005100000000001</v>
      </c>
      <c r="AD32" s="3">
        <v>3.1781600000000002E-3</v>
      </c>
    </row>
    <row r="33" spans="28:30">
      <c r="AB33">
        <v>1.3966700000000001</v>
      </c>
      <c r="AC33" s="3">
        <v>0.22985700000000001</v>
      </c>
      <c r="AD33" s="3">
        <v>2.1645900000000001E-3</v>
      </c>
    </row>
    <row r="34" spans="28:30">
      <c r="AB34">
        <v>1.44</v>
      </c>
      <c r="AC34" s="3">
        <v>0.14507200000000001</v>
      </c>
      <c r="AD34" s="3">
        <v>1.4448200000000001E-3</v>
      </c>
    </row>
    <row r="35" spans="28:30">
      <c r="AB35">
        <v>1.48333</v>
      </c>
      <c r="AC35" s="3">
        <v>9.0632099999999993E-2</v>
      </c>
      <c r="AD35" s="3">
        <v>9.4744999999999996E-4</v>
      </c>
    </row>
    <row r="36" spans="28:30">
      <c r="AB36">
        <v>1.52667</v>
      </c>
      <c r="AC36" s="3">
        <v>5.6113000000000003E-2</v>
      </c>
      <c r="AD36" s="3">
        <v>6.1166599999999997E-4</v>
      </c>
    </row>
    <row r="37" spans="28:30">
      <c r="AB37">
        <v>1.57</v>
      </c>
      <c r="AC37" s="3">
        <v>3.4466799999999999E-2</v>
      </c>
      <c r="AD37" s="3">
        <v>3.8952099999999999E-4</v>
      </c>
    </row>
    <row r="38" spans="28:30">
      <c r="AB38">
        <v>1.6133299999999999</v>
      </c>
      <c r="AC38" s="3">
        <v>2.1024600000000001E-2</v>
      </c>
      <c r="AD38" s="3">
        <v>2.4501999999999998E-4</v>
      </c>
    </row>
    <row r="39" spans="28:30">
      <c r="AB39">
        <v>1.6566700000000001</v>
      </c>
      <c r="AC39" s="3">
        <v>1.2748000000000001E-2</v>
      </c>
      <c r="AD39" s="3">
        <v>1.5254E-4</v>
      </c>
    </row>
    <row r="40" spans="28:30">
      <c r="AB40">
        <v>1.7</v>
      </c>
      <c r="AC40" s="3">
        <v>7.6896999999999998E-3</v>
      </c>
      <c r="AD40" s="3">
        <v>9.4179599999999995E-5</v>
      </c>
    </row>
    <row r="41" spans="28:30">
      <c r="AD41" s="3"/>
    </row>
    <row r="42" spans="28:30">
      <c r="AD42" s="3"/>
    </row>
    <row r="43" spans="28:30">
      <c r="AD43" s="3"/>
    </row>
    <row r="44" spans="28:30">
      <c r="AC44" s="3"/>
      <c r="AD44" s="3"/>
    </row>
    <row r="45" spans="28:30">
      <c r="AD45" s="3"/>
    </row>
    <row r="46" spans="28:30">
      <c r="AD46" s="3"/>
    </row>
    <row r="47" spans="28:30">
      <c r="AD47" s="3"/>
    </row>
    <row r="48" spans="28:30">
      <c r="AD48" s="3"/>
    </row>
    <row r="49" spans="29:30">
      <c r="AD49" s="3"/>
    </row>
    <row r="50" spans="29:30">
      <c r="AC50" s="3"/>
      <c r="AD50" s="3"/>
    </row>
    <row r="174" spans="26:26">
      <c r="Z174" t="str">
        <f t="shared" ref="Z174:Z237" si="0">IF(ROW()-ROW($E$71)+1&lt;=$F$28,$F$14,"")</f>
        <v/>
      </c>
    </row>
    <row r="175" spans="26:26">
      <c r="Z175" t="str">
        <f t="shared" si="0"/>
        <v/>
      </c>
    </row>
    <row r="176" spans="26:26">
      <c r="Z176" t="str">
        <f t="shared" si="0"/>
        <v/>
      </c>
    </row>
    <row r="177" spans="26:26">
      <c r="Z177" t="str">
        <f t="shared" si="0"/>
        <v/>
      </c>
    </row>
    <row r="178" spans="26:26">
      <c r="Z178" t="str">
        <f t="shared" si="0"/>
        <v/>
      </c>
    </row>
    <row r="179" spans="26:26">
      <c r="Z179" t="str">
        <f t="shared" si="0"/>
        <v/>
      </c>
    </row>
    <row r="180" spans="26:26">
      <c r="Z180" t="str">
        <f t="shared" si="0"/>
        <v/>
      </c>
    </row>
    <row r="181" spans="26:26">
      <c r="Z181" t="str">
        <f t="shared" si="0"/>
        <v/>
      </c>
    </row>
    <row r="182" spans="26:26">
      <c r="Z182" t="str">
        <f t="shared" si="0"/>
        <v/>
      </c>
    </row>
    <row r="183" spans="26:26">
      <c r="Z183" t="str">
        <f t="shared" si="0"/>
        <v/>
      </c>
    </row>
    <row r="184" spans="26:26">
      <c r="Z184" t="str">
        <f t="shared" si="0"/>
        <v/>
      </c>
    </row>
    <row r="185" spans="26:26">
      <c r="Z185" t="str">
        <f t="shared" si="0"/>
        <v/>
      </c>
    </row>
    <row r="186" spans="26:26">
      <c r="Z186" t="str">
        <f t="shared" si="0"/>
        <v/>
      </c>
    </row>
    <row r="187" spans="26:26">
      <c r="Z187" t="str">
        <f t="shared" si="0"/>
        <v/>
      </c>
    </row>
    <row r="188" spans="26:26">
      <c r="Z188" t="str">
        <f t="shared" si="0"/>
        <v/>
      </c>
    </row>
    <row r="189" spans="26:26">
      <c r="Z189" t="str">
        <f t="shared" si="0"/>
        <v/>
      </c>
    </row>
    <row r="190" spans="26:26">
      <c r="Z190" t="str">
        <f t="shared" si="0"/>
        <v/>
      </c>
    </row>
    <row r="191" spans="26:26">
      <c r="Z191" t="str">
        <f t="shared" si="0"/>
        <v/>
      </c>
    </row>
    <row r="192" spans="26:26">
      <c r="Z192" t="str">
        <f t="shared" si="0"/>
        <v/>
      </c>
    </row>
    <row r="193" spans="26:26">
      <c r="Z193" t="str">
        <f t="shared" si="0"/>
        <v/>
      </c>
    </row>
    <row r="194" spans="26:26">
      <c r="Z194" t="str">
        <f t="shared" si="0"/>
        <v/>
      </c>
    </row>
    <row r="195" spans="26:26">
      <c r="Z195" t="str">
        <f t="shared" si="0"/>
        <v/>
      </c>
    </row>
    <row r="196" spans="26:26">
      <c r="Z196" t="str">
        <f t="shared" si="0"/>
        <v/>
      </c>
    </row>
    <row r="197" spans="26:26">
      <c r="Z197" t="str">
        <f t="shared" si="0"/>
        <v/>
      </c>
    </row>
    <row r="198" spans="26:26">
      <c r="Z198" t="str">
        <f t="shared" si="0"/>
        <v/>
      </c>
    </row>
    <row r="199" spans="26:26">
      <c r="Z199" t="str">
        <f t="shared" si="0"/>
        <v/>
      </c>
    </row>
    <row r="200" spans="26:26">
      <c r="Z200" t="str">
        <f t="shared" si="0"/>
        <v/>
      </c>
    </row>
    <row r="201" spans="26:26">
      <c r="Z201" t="str">
        <f t="shared" si="0"/>
        <v/>
      </c>
    </row>
    <row r="202" spans="26:26">
      <c r="Z202" t="str">
        <f t="shared" si="0"/>
        <v/>
      </c>
    </row>
    <row r="203" spans="26:26">
      <c r="Z203" t="str">
        <f t="shared" si="0"/>
        <v/>
      </c>
    </row>
    <row r="204" spans="26:26">
      <c r="Z204" t="str">
        <f t="shared" si="0"/>
        <v/>
      </c>
    </row>
    <row r="205" spans="26:26">
      <c r="Z205" t="str">
        <f t="shared" si="0"/>
        <v/>
      </c>
    </row>
    <row r="206" spans="26:26">
      <c r="Z206" t="str">
        <f t="shared" si="0"/>
        <v/>
      </c>
    </row>
    <row r="207" spans="26:26">
      <c r="Z207" t="str">
        <f t="shared" si="0"/>
        <v/>
      </c>
    </row>
    <row r="208" spans="26:26">
      <c r="Z208" t="str">
        <f t="shared" si="0"/>
        <v/>
      </c>
    </row>
    <row r="209" spans="26:26">
      <c r="Z209" t="str">
        <f t="shared" si="0"/>
        <v/>
      </c>
    </row>
    <row r="210" spans="26:26">
      <c r="Z210" t="str">
        <f t="shared" si="0"/>
        <v/>
      </c>
    </row>
    <row r="211" spans="26:26">
      <c r="Z211" t="str">
        <f t="shared" si="0"/>
        <v/>
      </c>
    </row>
    <row r="212" spans="26:26">
      <c r="Z212" t="str">
        <f t="shared" si="0"/>
        <v/>
      </c>
    </row>
    <row r="213" spans="26:26">
      <c r="Z213" t="str">
        <f t="shared" si="0"/>
        <v/>
      </c>
    </row>
    <row r="214" spans="26:26">
      <c r="Z214" t="str">
        <f t="shared" si="0"/>
        <v/>
      </c>
    </row>
    <row r="215" spans="26:26">
      <c r="Z215" t="str">
        <f t="shared" si="0"/>
        <v/>
      </c>
    </row>
    <row r="216" spans="26:26">
      <c r="Z216" t="str">
        <f t="shared" si="0"/>
        <v/>
      </c>
    </row>
    <row r="217" spans="26:26">
      <c r="Z217" t="str">
        <f t="shared" si="0"/>
        <v/>
      </c>
    </row>
    <row r="218" spans="26:26">
      <c r="Z218" t="str">
        <f t="shared" si="0"/>
        <v/>
      </c>
    </row>
    <row r="219" spans="26:26">
      <c r="Z219" t="str">
        <f t="shared" si="0"/>
        <v/>
      </c>
    </row>
    <row r="220" spans="26:26">
      <c r="Z220" t="str">
        <f t="shared" si="0"/>
        <v/>
      </c>
    </row>
    <row r="221" spans="26:26">
      <c r="Z221" t="str">
        <f t="shared" si="0"/>
        <v/>
      </c>
    </row>
    <row r="222" spans="26:26">
      <c r="Z222" t="str">
        <f t="shared" si="0"/>
        <v/>
      </c>
    </row>
    <row r="223" spans="26:26">
      <c r="Z223" t="str">
        <f t="shared" si="0"/>
        <v/>
      </c>
    </row>
    <row r="224" spans="26:26">
      <c r="Z224" t="str">
        <f t="shared" si="0"/>
        <v/>
      </c>
    </row>
    <row r="225" spans="26:26">
      <c r="Z225" t="str">
        <f t="shared" si="0"/>
        <v/>
      </c>
    </row>
    <row r="226" spans="26:26">
      <c r="Z226" t="str">
        <f t="shared" si="0"/>
        <v/>
      </c>
    </row>
    <row r="227" spans="26:26">
      <c r="Z227" t="str">
        <f t="shared" si="0"/>
        <v/>
      </c>
    </row>
    <row r="228" spans="26:26">
      <c r="Z228" t="str">
        <f t="shared" si="0"/>
        <v/>
      </c>
    </row>
    <row r="229" spans="26:26">
      <c r="Z229" t="str">
        <f t="shared" si="0"/>
        <v/>
      </c>
    </row>
    <row r="230" spans="26:26">
      <c r="Z230" t="str">
        <f t="shared" si="0"/>
        <v/>
      </c>
    </row>
    <row r="231" spans="26:26">
      <c r="Z231" t="str">
        <f t="shared" si="0"/>
        <v/>
      </c>
    </row>
    <row r="232" spans="26:26">
      <c r="Z232" t="str">
        <f t="shared" si="0"/>
        <v/>
      </c>
    </row>
    <row r="233" spans="26:26">
      <c r="Z233" t="str">
        <f t="shared" si="0"/>
        <v/>
      </c>
    </row>
    <row r="234" spans="26:26">
      <c r="Z234" t="str">
        <f t="shared" si="0"/>
        <v/>
      </c>
    </row>
    <row r="235" spans="26:26">
      <c r="Z235" t="str">
        <f t="shared" si="0"/>
        <v/>
      </c>
    </row>
    <row r="236" spans="26:26">
      <c r="Z236" t="str">
        <f t="shared" si="0"/>
        <v/>
      </c>
    </row>
    <row r="237" spans="26:26">
      <c r="Z237" t="str">
        <f t="shared" si="0"/>
        <v/>
      </c>
    </row>
    <row r="238" spans="26:26">
      <c r="Z238" t="str">
        <f t="shared" ref="Z238:Z301" si="1">IF(ROW()-ROW($E$71)+1&lt;=$F$28,$F$14,"")</f>
        <v/>
      </c>
    </row>
    <row r="239" spans="26:26">
      <c r="Z239" t="str">
        <f t="shared" si="1"/>
        <v/>
      </c>
    </row>
    <row r="240" spans="26:26">
      <c r="Z240" t="str">
        <f t="shared" si="1"/>
        <v/>
      </c>
    </row>
    <row r="241" spans="26:26">
      <c r="Z241" t="str">
        <f t="shared" si="1"/>
        <v/>
      </c>
    </row>
    <row r="242" spans="26:26">
      <c r="Z242" t="str">
        <f t="shared" si="1"/>
        <v/>
      </c>
    </row>
    <row r="243" spans="26:26">
      <c r="Z243" t="str">
        <f t="shared" si="1"/>
        <v/>
      </c>
    </row>
    <row r="244" spans="26:26">
      <c r="Z244" t="str">
        <f t="shared" si="1"/>
        <v/>
      </c>
    </row>
    <row r="245" spans="26:26">
      <c r="Z245" t="str">
        <f t="shared" si="1"/>
        <v/>
      </c>
    </row>
    <row r="246" spans="26:26">
      <c r="Z246" t="str">
        <f t="shared" si="1"/>
        <v/>
      </c>
    </row>
    <row r="247" spans="26:26">
      <c r="Z247" t="str">
        <f t="shared" si="1"/>
        <v/>
      </c>
    </row>
    <row r="248" spans="26:26">
      <c r="Z248" t="str">
        <f t="shared" si="1"/>
        <v/>
      </c>
    </row>
    <row r="249" spans="26:26">
      <c r="Z249" t="str">
        <f t="shared" si="1"/>
        <v/>
      </c>
    </row>
    <row r="250" spans="26:26">
      <c r="Z250" t="str">
        <f t="shared" si="1"/>
        <v/>
      </c>
    </row>
    <row r="251" spans="26:26">
      <c r="Z251" t="str">
        <f t="shared" si="1"/>
        <v/>
      </c>
    </row>
    <row r="252" spans="26:26">
      <c r="Z252" t="str">
        <f t="shared" si="1"/>
        <v/>
      </c>
    </row>
    <row r="253" spans="26:26">
      <c r="Z253" t="str">
        <f t="shared" si="1"/>
        <v/>
      </c>
    </row>
    <row r="254" spans="26:26">
      <c r="Z254" t="str">
        <f t="shared" si="1"/>
        <v/>
      </c>
    </row>
    <row r="255" spans="26:26">
      <c r="Z255" t="str">
        <f t="shared" si="1"/>
        <v/>
      </c>
    </row>
    <row r="256" spans="26:26">
      <c r="Z256" t="str">
        <f t="shared" si="1"/>
        <v/>
      </c>
    </row>
    <row r="257" spans="26:26">
      <c r="Z257" t="str">
        <f t="shared" si="1"/>
        <v/>
      </c>
    </row>
    <row r="258" spans="26:26">
      <c r="Z258" t="str">
        <f t="shared" si="1"/>
        <v/>
      </c>
    </row>
    <row r="259" spans="26:26">
      <c r="Z259" t="str">
        <f t="shared" si="1"/>
        <v/>
      </c>
    </row>
    <row r="260" spans="26:26">
      <c r="Z260" t="str">
        <f t="shared" si="1"/>
        <v/>
      </c>
    </row>
    <row r="261" spans="26:26">
      <c r="Z261" t="str">
        <f t="shared" si="1"/>
        <v/>
      </c>
    </row>
    <row r="262" spans="26:26">
      <c r="Z262" t="str">
        <f t="shared" si="1"/>
        <v/>
      </c>
    </row>
    <row r="263" spans="26:26">
      <c r="Z263" t="str">
        <f t="shared" si="1"/>
        <v/>
      </c>
    </row>
    <row r="264" spans="26:26">
      <c r="Z264" t="str">
        <f t="shared" si="1"/>
        <v/>
      </c>
    </row>
    <row r="265" spans="26:26">
      <c r="Z265" t="str">
        <f t="shared" si="1"/>
        <v/>
      </c>
    </row>
    <row r="266" spans="26:26">
      <c r="Z266" t="str">
        <f t="shared" si="1"/>
        <v/>
      </c>
    </row>
    <row r="267" spans="26:26">
      <c r="Z267" t="str">
        <f t="shared" si="1"/>
        <v/>
      </c>
    </row>
    <row r="268" spans="26:26">
      <c r="Z268" t="str">
        <f t="shared" si="1"/>
        <v/>
      </c>
    </row>
    <row r="269" spans="26:26">
      <c r="Z269" t="str">
        <f t="shared" si="1"/>
        <v/>
      </c>
    </row>
    <row r="270" spans="26:26">
      <c r="Z270" t="str">
        <f t="shared" si="1"/>
        <v/>
      </c>
    </row>
    <row r="271" spans="26:26">
      <c r="Z271" t="str">
        <f t="shared" si="1"/>
        <v/>
      </c>
    </row>
    <row r="272" spans="26:26">
      <c r="Z272" t="str">
        <f t="shared" si="1"/>
        <v/>
      </c>
    </row>
    <row r="273" spans="26:26">
      <c r="Z273" t="str">
        <f t="shared" si="1"/>
        <v/>
      </c>
    </row>
    <row r="274" spans="26:26">
      <c r="Z274" t="str">
        <f t="shared" si="1"/>
        <v/>
      </c>
    </row>
    <row r="275" spans="26:26">
      <c r="Z275" t="str">
        <f t="shared" si="1"/>
        <v/>
      </c>
    </row>
    <row r="276" spans="26:26">
      <c r="Z276" t="str">
        <f t="shared" si="1"/>
        <v/>
      </c>
    </row>
    <row r="277" spans="26:26">
      <c r="Z277" t="str">
        <f t="shared" si="1"/>
        <v/>
      </c>
    </row>
    <row r="278" spans="26:26">
      <c r="Z278" t="str">
        <f t="shared" si="1"/>
        <v/>
      </c>
    </row>
    <row r="279" spans="26:26">
      <c r="Z279" t="str">
        <f t="shared" si="1"/>
        <v/>
      </c>
    </row>
    <row r="280" spans="26:26">
      <c r="Z280" t="str">
        <f t="shared" si="1"/>
        <v/>
      </c>
    </row>
    <row r="281" spans="26:26">
      <c r="Z281" t="str">
        <f t="shared" si="1"/>
        <v/>
      </c>
    </row>
    <row r="282" spans="26:26">
      <c r="Z282" t="str">
        <f t="shared" si="1"/>
        <v/>
      </c>
    </row>
    <row r="283" spans="26:26">
      <c r="Z283" t="str">
        <f t="shared" si="1"/>
        <v/>
      </c>
    </row>
    <row r="284" spans="26:26">
      <c r="Z284" t="str">
        <f t="shared" si="1"/>
        <v/>
      </c>
    </row>
    <row r="285" spans="26:26">
      <c r="Z285" t="str">
        <f t="shared" si="1"/>
        <v/>
      </c>
    </row>
    <row r="286" spans="26:26">
      <c r="Z286" t="str">
        <f t="shared" si="1"/>
        <v/>
      </c>
    </row>
    <row r="287" spans="26:26">
      <c r="Z287" t="str">
        <f t="shared" si="1"/>
        <v/>
      </c>
    </row>
    <row r="288" spans="26:26">
      <c r="Z288" t="str">
        <f t="shared" si="1"/>
        <v/>
      </c>
    </row>
    <row r="289" spans="26:26">
      <c r="Z289" t="str">
        <f t="shared" si="1"/>
        <v/>
      </c>
    </row>
    <row r="290" spans="26:26">
      <c r="Z290" t="str">
        <f t="shared" si="1"/>
        <v/>
      </c>
    </row>
    <row r="291" spans="26:26">
      <c r="Z291" t="str">
        <f t="shared" si="1"/>
        <v/>
      </c>
    </row>
    <row r="292" spans="26:26">
      <c r="Z292" t="str">
        <f t="shared" si="1"/>
        <v/>
      </c>
    </row>
    <row r="293" spans="26:26">
      <c r="Z293" t="str">
        <f t="shared" si="1"/>
        <v/>
      </c>
    </row>
    <row r="294" spans="26:26">
      <c r="Z294" t="str">
        <f t="shared" si="1"/>
        <v/>
      </c>
    </row>
    <row r="295" spans="26:26">
      <c r="Z295" t="str">
        <f t="shared" si="1"/>
        <v/>
      </c>
    </row>
    <row r="296" spans="26:26">
      <c r="Z296" t="str">
        <f t="shared" si="1"/>
        <v/>
      </c>
    </row>
    <row r="297" spans="26:26">
      <c r="Z297" t="str">
        <f t="shared" si="1"/>
        <v/>
      </c>
    </row>
    <row r="298" spans="26:26">
      <c r="Z298" t="str">
        <f t="shared" si="1"/>
        <v/>
      </c>
    </row>
    <row r="299" spans="26:26">
      <c r="Z299" t="str">
        <f t="shared" si="1"/>
        <v/>
      </c>
    </row>
    <row r="300" spans="26:26">
      <c r="Z300" t="str">
        <f t="shared" si="1"/>
        <v/>
      </c>
    </row>
    <row r="301" spans="26:26">
      <c r="Z301" t="str">
        <f t="shared" si="1"/>
        <v/>
      </c>
    </row>
    <row r="302" spans="26:26">
      <c r="Z302" t="str">
        <f t="shared" ref="Z302:Z365" si="2">IF(ROW()-ROW($E$71)+1&lt;=$F$28,$F$14,"")</f>
        <v/>
      </c>
    </row>
    <row r="303" spans="26:26">
      <c r="Z303" t="str">
        <f t="shared" si="2"/>
        <v/>
      </c>
    </row>
    <row r="304" spans="26:26">
      <c r="Z304" t="str">
        <f t="shared" si="2"/>
        <v/>
      </c>
    </row>
    <row r="305" spans="26:26">
      <c r="Z305" t="str">
        <f t="shared" si="2"/>
        <v/>
      </c>
    </row>
    <row r="306" spans="26:26">
      <c r="Z306" t="str">
        <f t="shared" si="2"/>
        <v/>
      </c>
    </row>
    <row r="307" spans="26:26">
      <c r="Z307" t="str">
        <f t="shared" si="2"/>
        <v/>
      </c>
    </row>
    <row r="308" spans="26:26">
      <c r="Z308" t="str">
        <f t="shared" si="2"/>
        <v/>
      </c>
    </row>
    <row r="309" spans="26:26">
      <c r="Z309" t="str">
        <f t="shared" si="2"/>
        <v/>
      </c>
    </row>
    <row r="310" spans="26:26">
      <c r="Z310" t="str">
        <f t="shared" si="2"/>
        <v/>
      </c>
    </row>
    <row r="311" spans="26:26">
      <c r="Z311" t="str">
        <f t="shared" si="2"/>
        <v/>
      </c>
    </row>
    <row r="312" spans="26:26">
      <c r="Z312" t="str">
        <f t="shared" si="2"/>
        <v/>
      </c>
    </row>
    <row r="313" spans="26:26">
      <c r="Z313" t="str">
        <f t="shared" si="2"/>
        <v/>
      </c>
    </row>
    <row r="314" spans="26:26">
      <c r="Z314" t="str">
        <f t="shared" si="2"/>
        <v/>
      </c>
    </row>
    <row r="315" spans="26:26">
      <c r="Z315" t="str">
        <f t="shared" si="2"/>
        <v/>
      </c>
    </row>
    <row r="316" spans="26:26">
      <c r="Z316" t="str">
        <f t="shared" si="2"/>
        <v/>
      </c>
    </row>
    <row r="317" spans="26:26">
      <c r="Z317" t="str">
        <f t="shared" si="2"/>
        <v/>
      </c>
    </row>
    <row r="318" spans="26:26">
      <c r="Z318" t="str">
        <f t="shared" si="2"/>
        <v/>
      </c>
    </row>
    <row r="319" spans="26:26">
      <c r="Z319" t="str">
        <f t="shared" si="2"/>
        <v/>
      </c>
    </row>
    <row r="320" spans="26:26">
      <c r="Z320" t="str">
        <f t="shared" si="2"/>
        <v/>
      </c>
    </row>
    <row r="321" spans="26:26">
      <c r="Z321" t="str">
        <f t="shared" si="2"/>
        <v/>
      </c>
    </row>
    <row r="322" spans="26:26">
      <c r="Z322" t="str">
        <f t="shared" si="2"/>
        <v/>
      </c>
    </row>
    <row r="323" spans="26:26">
      <c r="Z323" t="str">
        <f t="shared" si="2"/>
        <v/>
      </c>
    </row>
    <row r="324" spans="26:26">
      <c r="Z324" t="str">
        <f t="shared" si="2"/>
        <v/>
      </c>
    </row>
    <row r="325" spans="26:26">
      <c r="Z325" t="str">
        <f t="shared" si="2"/>
        <v/>
      </c>
    </row>
    <row r="326" spans="26:26">
      <c r="Z326" t="str">
        <f t="shared" si="2"/>
        <v/>
      </c>
    </row>
    <row r="327" spans="26:26">
      <c r="Z327" t="str">
        <f t="shared" si="2"/>
        <v/>
      </c>
    </row>
    <row r="328" spans="26:26">
      <c r="Z328" t="str">
        <f t="shared" si="2"/>
        <v/>
      </c>
    </row>
    <row r="329" spans="26:26">
      <c r="Z329" t="str">
        <f t="shared" si="2"/>
        <v/>
      </c>
    </row>
    <row r="330" spans="26:26">
      <c r="Z330" t="str">
        <f t="shared" si="2"/>
        <v/>
      </c>
    </row>
    <row r="331" spans="26:26">
      <c r="Z331" t="str">
        <f t="shared" si="2"/>
        <v/>
      </c>
    </row>
    <row r="332" spans="26:26">
      <c r="Z332" t="str">
        <f t="shared" si="2"/>
        <v/>
      </c>
    </row>
    <row r="333" spans="26:26">
      <c r="Z333" t="str">
        <f t="shared" si="2"/>
        <v/>
      </c>
    </row>
    <row r="334" spans="26:26">
      <c r="Z334" t="str">
        <f t="shared" si="2"/>
        <v/>
      </c>
    </row>
    <row r="335" spans="26:26">
      <c r="Z335" t="str">
        <f t="shared" si="2"/>
        <v/>
      </c>
    </row>
    <row r="336" spans="26:26">
      <c r="Z336" t="str">
        <f t="shared" si="2"/>
        <v/>
      </c>
    </row>
    <row r="337" spans="26:26">
      <c r="Z337" t="str">
        <f t="shared" si="2"/>
        <v/>
      </c>
    </row>
    <row r="338" spans="26:26">
      <c r="Z338" t="str">
        <f t="shared" si="2"/>
        <v/>
      </c>
    </row>
    <row r="339" spans="26:26">
      <c r="Z339" t="str">
        <f t="shared" si="2"/>
        <v/>
      </c>
    </row>
    <row r="340" spans="26:26">
      <c r="Z340" t="str">
        <f t="shared" si="2"/>
        <v/>
      </c>
    </row>
    <row r="341" spans="26:26">
      <c r="Z341" t="str">
        <f t="shared" si="2"/>
        <v/>
      </c>
    </row>
    <row r="342" spans="26:26">
      <c r="Z342" t="str">
        <f t="shared" si="2"/>
        <v/>
      </c>
    </row>
    <row r="343" spans="26:26">
      <c r="Z343" t="str">
        <f t="shared" si="2"/>
        <v/>
      </c>
    </row>
    <row r="344" spans="26:26">
      <c r="Z344" t="str">
        <f t="shared" si="2"/>
        <v/>
      </c>
    </row>
    <row r="345" spans="26:26">
      <c r="Z345" t="str">
        <f t="shared" si="2"/>
        <v/>
      </c>
    </row>
    <row r="346" spans="26:26">
      <c r="Z346" t="str">
        <f t="shared" si="2"/>
        <v/>
      </c>
    </row>
    <row r="347" spans="26:26">
      <c r="Z347" t="str">
        <f t="shared" si="2"/>
        <v/>
      </c>
    </row>
    <row r="348" spans="26:26">
      <c r="Z348" t="str">
        <f t="shared" si="2"/>
        <v/>
      </c>
    </row>
    <row r="349" spans="26:26">
      <c r="Z349" t="str">
        <f t="shared" si="2"/>
        <v/>
      </c>
    </row>
    <row r="350" spans="26:26">
      <c r="Z350" t="str">
        <f t="shared" si="2"/>
        <v/>
      </c>
    </row>
    <row r="351" spans="26:26">
      <c r="Z351" t="str">
        <f t="shared" si="2"/>
        <v/>
      </c>
    </row>
    <row r="352" spans="26:26">
      <c r="Z352" t="str">
        <f t="shared" si="2"/>
        <v/>
      </c>
    </row>
    <row r="353" spans="26:26">
      <c r="Z353" t="str">
        <f t="shared" si="2"/>
        <v/>
      </c>
    </row>
    <row r="354" spans="26:26">
      <c r="Z354" t="str">
        <f t="shared" si="2"/>
        <v/>
      </c>
    </row>
    <row r="355" spans="26:26">
      <c r="Z355" t="str">
        <f t="shared" si="2"/>
        <v/>
      </c>
    </row>
    <row r="356" spans="26:26">
      <c r="Z356" t="str">
        <f t="shared" si="2"/>
        <v/>
      </c>
    </row>
    <row r="357" spans="26:26">
      <c r="Z357" t="str">
        <f t="shared" si="2"/>
        <v/>
      </c>
    </row>
    <row r="358" spans="26:26">
      <c r="Z358" t="str">
        <f t="shared" si="2"/>
        <v/>
      </c>
    </row>
    <row r="359" spans="26:26">
      <c r="Z359" t="str">
        <f t="shared" si="2"/>
        <v/>
      </c>
    </row>
    <row r="360" spans="26:26">
      <c r="Z360" t="str">
        <f t="shared" si="2"/>
        <v/>
      </c>
    </row>
    <row r="361" spans="26:26">
      <c r="Z361" t="str">
        <f t="shared" si="2"/>
        <v/>
      </c>
    </row>
    <row r="362" spans="26:26">
      <c r="Z362" t="str">
        <f t="shared" si="2"/>
        <v/>
      </c>
    </row>
    <row r="363" spans="26:26">
      <c r="Z363" t="str">
        <f t="shared" si="2"/>
        <v/>
      </c>
    </row>
    <row r="364" spans="26:26">
      <c r="Z364" t="str">
        <f t="shared" si="2"/>
        <v/>
      </c>
    </row>
    <row r="365" spans="26:26">
      <c r="Z365" t="str">
        <f t="shared" si="2"/>
        <v/>
      </c>
    </row>
    <row r="366" spans="26:26">
      <c r="Z366" t="str">
        <f t="shared" ref="Z366:Z429" si="3">IF(ROW()-ROW($E$71)+1&lt;=$F$28,$F$14,"")</f>
        <v/>
      </c>
    </row>
    <row r="367" spans="26:26">
      <c r="Z367" t="str">
        <f t="shared" si="3"/>
        <v/>
      </c>
    </row>
    <row r="368" spans="26:26">
      <c r="Z368" t="str">
        <f t="shared" si="3"/>
        <v/>
      </c>
    </row>
    <row r="369" spans="26:26">
      <c r="Z369" t="str">
        <f t="shared" si="3"/>
        <v/>
      </c>
    </row>
    <row r="370" spans="26:26">
      <c r="Z370" t="str">
        <f t="shared" si="3"/>
        <v/>
      </c>
    </row>
    <row r="371" spans="26:26">
      <c r="Z371" t="str">
        <f t="shared" si="3"/>
        <v/>
      </c>
    </row>
    <row r="372" spans="26:26">
      <c r="Z372" t="str">
        <f t="shared" si="3"/>
        <v/>
      </c>
    </row>
    <row r="373" spans="26:26">
      <c r="Z373" t="str">
        <f t="shared" si="3"/>
        <v/>
      </c>
    </row>
    <row r="374" spans="26:26">
      <c r="Z374" t="str">
        <f t="shared" si="3"/>
        <v/>
      </c>
    </row>
    <row r="375" spans="26:26">
      <c r="Z375" t="str">
        <f t="shared" si="3"/>
        <v/>
      </c>
    </row>
    <row r="376" spans="26:26">
      <c r="Z376" t="str">
        <f t="shared" si="3"/>
        <v/>
      </c>
    </row>
    <row r="377" spans="26:26">
      <c r="Z377" t="str">
        <f t="shared" si="3"/>
        <v/>
      </c>
    </row>
    <row r="378" spans="26:26">
      <c r="Z378" t="str">
        <f t="shared" si="3"/>
        <v/>
      </c>
    </row>
    <row r="379" spans="26:26">
      <c r="Z379" t="str">
        <f t="shared" si="3"/>
        <v/>
      </c>
    </row>
    <row r="380" spans="26:26">
      <c r="Z380" t="str">
        <f t="shared" si="3"/>
        <v/>
      </c>
    </row>
    <row r="381" spans="26:26">
      <c r="Z381" t="str">
        <f t="shared" si="3"/>
        <v/>
      </c>
    </row>
    <row r="382" spans="26:26">
      <c r="Z382" t="str">
        <f t="shared" si="3"/>
        <v/>
      </c>
    </row>
    <row r="383" spans="26:26">
      <c r="Z383" t="str">
        <f t="shared" si="3"/>
        <v/>
      </c>
    </row>
    <row r="384" spans="26:26">
      <c r="Z384" t="str">
        <f t="shared" si="3"/>
        <v/>
      </c>
    </row>
    <row r="385" spans="26:26">
      <c r="Z385" t="str">
        <f t="shared" si="3"/>
        <v/>
      </c>
    </row>
    <row r="386" spans="26:26">
      <c r="Z386" t="str">
        <f t="shared" si="3"/>
        <v/>
      </c>
    </row>
    <row r="387" spans="26:26">
      <c r="Z387" t="str">
        <f t="shared" si="3"/>
        <v/>
      </c>
    </row>
    <row r="388" spans="26:26">
      <c r="Z388" t="str">
        <f t="shared" si="3"/>
        <v/>
      </c>
    </row>
    <row r="389" spans="26:26">
      <c r="Z389" t="str">
        <f t="shared" si="3"/>
        <v/>
      </c>
    </row>
    <row r="390" spans="26:26">
      <c r="Z390" t="str">
        <f t="shared" si="3"/>
        <v/>
      </c>
    </row>
    <row r="391" spans="26:26">
      <c r="Z391" t="str">
        <f t="shared" si="3"/>
        <v/>
      </c>
    </row>
    <row r="392" spans="26:26">
      <c r="Z392" t="str">
        <f t="shared" si="3"/>
        <v/>
      </c>
    </row>
    <row r="393" spans="26:26">
      <c r="Z393" t="str">
        <f t="shared" si="3"/>
        <v/>
      </c>
    </row>
    <row r="394" spans="26:26">
      <c r="Z394" t="str">
        <f t="shared" si="3"/>
        <v/>
      </c>
    </row>
    <row r="395" spans="26:26">
      <c r="Z395" t="str">
        <f t="shared" si="3"/>
        <v/>
      </c>
    </row>
    <row r="396" spans="26:26">
      <c r="Z396" t="str">
        <f t="shared" si="3"/>
        <v/>
      </c>
    </row>
    <row r="397" spans="26:26">
      <c r="Z397" t="str">
        <f t="shared" si="3"/>
        <v/>
      </c>
    </row>
    <row r="398" spans="26:26">
      <c r="Z398" t="str">
        <f t="shared" si="3"/>
        <v/>
      </c>
    </row>
    <row r="399" spans="26:26">
      <c r="Z399" t="str">
        <f t="shared" si="3"/>
        <v/>
      </c>
    </row>
    <row r="400" spans="26:26">
      <c r="Z400" t="str">
        <f t="shared" si="3"/>
        <v/>
      </c>
    </row>
    <row r="401" spans="26:26">
      <c r="Z401" t="str">
        <f t="shared" si="3"/>
        <v/>
      </c>
    </row>
    <row r="402" spans="26:26">
      <c r="Z402" t="str">
        <f t="shared" si="3"/>
        <v/>
      </c>
    </row>
    <row r="403" spans="26:26">
      <c r="Z403" t="str">
        <f t="shared" si="3"/>
        <v/>
      </c>
    </row>
    <row r="404" spans="26:26">
      <c r="Z404" t="str">
        <f t="shared" si="3"/>
        <v/>
      </c>
    </row>
    <row r="405" spans="26:26">
      <c r="Z405" t="str">
        <f t="shared" si="3"/>
        <v/>
      </c>
    </row>
    <row r="406" spans="26:26">
      <c r="Z406" t="str">
        <f t="shared" si="3"/>
        <v/>
      </c>
    </row>
    <row r="407" spans="26:26">
      <c r="Z407" t="str">
        <f t="shared" si="3"/>
        <v/>
      </c>
    </row>
    <row r="408" spans="26:26">
      <c r="Z408" t="str">
        <f t="shared" si="3"/>
        <v/>
      </c>
    </row>
    <row r="409" spans="26:26">
      <c r="Z409" t="str">
        <f t="shared" si="3"/>
        <v/>
      </c>
    </row>
    <row r="410" spans="26:26">
      <c r="Z410" t="str">
        <f t="shared" si="3"/>
        <v/>
      </c>
    </row>
    <row r="411" spans="26:26">
      <c r="Z411" t="str">
        <f t="shared" si="3"/>
        <v/>
      </c>
    </row>
    <row r="412" spans="26:26">
      <c r="Z412" t="str">
        <f t="shared" si="3"/>
        <v/>
      </c>
    </row>
    <row r="413" spans="26:26">
      <c r="Z413" t="str">
        <f t="shared" si="3"/>
        <v/>
      </c>
    </row>
    <row r="414" spans="26:26">
      <c r="Z414" t="str">
        <f t="shared" si="3"/>
        <v/>
      </c>
    </row>
    <row r="415" spans="26:26">
      <c r="Z415" t="str">
        <f t="shared" si="3"/>
        <v/>
      </c>
    </row>
    <row r="416" spans="26:26">
      <c r="Z416" t="str">
        <f t="shared" si="3"/>
        <v/>
      </c>
    </row>
    <row r="417" spans="26:26">
      <c r="Z417" t="str">
        <f t="shared" si="3"/>
        <v/>
      </c>
    </row>
    <row r="418" spans="26:26">
      <c r="Z418" t="str">
        <f t="shared" si="3"/>
        <v/>
      </c>
    </row>
    <row r="419" spans="26:26">
      <c r="Z419" t="str">
        <f t="shared" si="3"/>
        <v/>
      </c>
    </row>
    <row r="420" spans="26:26">
      <c r="Z420" t="str">
        <f t="shared" si="3"/>
        <v/>
      </c>
    </row>
    <row r="421" spans="26:26">
      <c r="Z421" t="str">
        <f t="shared" si="3"/>
        <v/>
      </c>
    </row>
    <row r="422" spans="26:26">
      <c r="Z422" t="str">
        <f t="shared" si="3"/>
        <v/>
      </c>
    </row>
    <row r="423" spans="26:26">
      <c r="Z423" t="str">
        <f t="shared" si="3"/>
        <v/>
      </c>
    </row>
    <row r="424" spans="26:26">
      <c r="Z424" t="str">
        <f t="shared" si="3"/>
        <v/>
      </c>
    </row>
    <row r="425" spans="26:26">
      <c r="Z425" t="str">
        <f t="shared" si="3"/>
        <v/>
      </c>
    </row>
    <row r="426" spans="26:26">
      <c r="Z426" t="str">
        <f t="shared" si="3"/>
        <v/>
      </c>
    </row>
    <row r="427" spans="26:26">
      <c r="Z427" t="str">
        <f t="shared" si="3"/>
        <v/>
      </c>
    </row>
    <row r="428" spans="26:26">
      <c r="Z428" t="str">
        <f t="shared" si="3"/>
        <v/>
      </c>
    </row>
    <row r="429" spans="26:26">
      <c r="Z429" t="str">
        <f t="shared" si="3"/>
        <v/>
      </c>
    </row>
    <row r="430" spans="26:26">
      <c r="Z430" t="str">
        <f t="shared" ref="Z430:Z493" si="4">IF(ROW()-ROW($E$71)+1&lt;=$F$28,$F$14,"")</f>
        <v/>
      </c>
    </row>
    <row r="431" spans="26:26">
      <c r="Z431" t="str">
        <f t="shared" si="4"/>
        <v/>
      </c>
    </row>
    <row r="432" spans="26:26">
      <c r="Z432" t="str">
        <f t="shared" si="4"/>
        <v/>
      </c>
    </row>
    <row r="433" spans="26:26">
      <c r="Z433" t="str">
        <f t="shared" si="4"/>
        <v/>
      </c>
    </row>
    <row r="434" spans="26:26">
      <c r="Z434" t="str">
        <f t="shared" si="4"/>
        <v/>
      </c>
    </row>
    <row r="435" spans="26:26">
      <c r="Z435" t="str">
        <f t="shared" si="4"/>
        <v/>
      </c>
    </row>
    <row r="436" spans="26:26">
      <c r="Z436" t="str">
        <f t="shared" si="4"/>
        <v/>
      </c>
    </row>
    <row r="437" spans="26:26">
      <c r="Z437" t="str">
        <f t="shared" si="4"/>
        <v/>
      </c>
    </row>
    <row r="438" spans="26:26">
      <c r="Z438" t="str">
        <f t="shared" si="4"/>
        <v/>
      </c>
    </row>
    <row r="439" spans="26:26">
      <c r="Z439" t="str">
        <f t="shared" si="4"/>
        <v/>
      </c>
    </row>
    <row r="440" spans="26:26">
      <c r="Z440" t="str">
        <f t="shared" si="4"/>
        <v/>
      </c>
    </row>
    <row r="441" spans="26:26">
      <c r="Z441" t="str">
        <f t="shared" si="4"/>
        <v/>
      </c>
    </row>
    <row r="442" spans="26:26">
      <c r="Z442" t="str">
        <f t="shared" si="4"/>
        <v/>
      </c>
    </row>
    <row r="443" spans="26:26">
      <c r="Z443" t="str">
        <f t="shared" si="4"/>
        <v/>
      </c>
    </row>
    <row r="444" spans="26:26">
      <c r="Z444" t="str">
        <f t="shared" si="4"/>
        <v/>
      </c>
    </row>
    <row r="445" spans="26:26">
      <c r="Z445" t="str">
        <f t="shared" si="4"/>
        <v/>
      </c>
    </row>
    <row r="446" spans="26:26">
      <c r="Z446" t="str">
        <f t="shared" si="4"/>
        <v/>
      </c>
    </row>
    <row r="447" spans="26:26">
      <c r="Z447" t="str">
        <f t="shared" si="4"/>
        <v/>
      </c>
    </row>
    <row r="448" spans="26:26">
      <c r="Z448" t="str">
        <f t="shared" si="4"/>
        <v/>
      </c>
    </row>
    <row r="449" spans="26:26">
      <c r="Z449" t="str">
        <f t="shared" si="4"/>
        <v/>
      </c>
    </row>
    <row r="450" spans="26:26">
      <c r="Z450" t="str">
        <f t="shared" si="4"/>
        <v/>
      </c>
    </row>
    <row r="451" spans="26:26">
      <c r="Z451" t="str">
        <f t="shared" si="4"/>
        <v/>
      </c>
    </row>
    <row r="452" spans="26:26">
      <c r="Z452" t="str">
        <f t="shared" si="4"/>
        <v/>
      </c>
    </row>
    <row r="453" spans="26:26">
      <c r="Z453" t="str">
        <f t="shared" si="4"/>
        <v/>
      </c>
    </row>
    <row r="454" spans="26:26">
      <c r="Z454" t="str">
        <f t="shared" si="4"/>
        <v/>
      </c>
    </row>
    <row r="455" spans="26:26">
      <c r="Z455" t="str">
        <f t="shared" si="4"/>
        <v/>
      </c>
    </row>
    <row r="456" spans="26:26">
      <c r="Z456" t="str">
        <f t="shared" si="4"/>
        <v/>
      </c>
    </row>
    <row r="457" spans="26:26">
      <c r="Z457" t="str">
        <f t="shared" si="4"/>
        <v/>
      </c>
    </row>
    <row r="458" spans="26:26">
      <c r="Z458" t="str">
        <f t="shared" si="4"/>
        <v/>
      </c>
    </row>
    <row r="459" spans="26:26">
      <c r="Z459" t="str">
        <f t="shared" si="4"/>
        <v/>
      </c>
    </row>
    <row r="460" spans="26:26">
      <c r="Z460" t="str">
        <f t="shared" si="4"/>
        <v/>
      </c>
    </row>
    <row r="461" spans="26:26">
      <c r="Z461" t="str">
        <f t="shared" si="4"/>
        <v/>
      </c>
    </row>
    <row r="462" spans="26:26">
      <c r="Z462" t="str">
        <f t="shared" si="4"/>
        <v/>
      </c>
    </row>
    <row r="463" spans="26:26">
      <c r="Z463" t="str">
        <f t="shared" si="4"/>
        <v/>
      </c>
    </row>
    <row r="464" spans="26:26">
      <c r="Z464" t="str">
        <f t="shared" si="4"/>
        <v/>
      </c>
    </row>
    <row r="465" spans="26:26">
      <c r="Z465" t="str">
        <f t="shared" si="4"/>
        <v/>
      </c>
    </row>
    <row r="466" spans="26:26">
      <c r="Z466" t="str">
        <f t="shared" si="4"/>
        <v/>
      </c>
    </row>
    <row r="467" spans="26:26">
      <c r="Z467" t="str">
        <f t="shared" si="4"/>
        <v/>
      </c>
    </row>
    <row r="468" spans="26:26">
      <c r="Z468" t="str">
        <f t="shared" si="4"/>
        <v/>
      </c>
    </row>
    <row r="469" spans="26:26">
      <c r="Z469" t="str">
        <f t="shared" si="4"/>
        <v/>
      </c>
    </row>
    <row r="470" spans="26:26">
      <c r="Z470" t="str">
        <f t="shared" si="4"/>
        <v/>
      </c>
    </row>
    <row r="471" spans="26:26">
      <c r="Z471" t="str">
        <f t="shared" si="4"/>
        <v/>
      </c>
    </row>
    <row r="472" spans="26:26">
      <c r="Z472" t="str">
        <f t="shared" si="4"/>
        <v/>
      </c>
    </row>
    <row r="473" spans="26:26">
      <c r="Z473" t="str">
        <f t="shared" si="4"/>
        <v/>
      </c>
    </row>
    <row r="474" spans="26:26">
      <c r="Z474" t="str">
        <f t="shared" si="4"/>
        <v/>
      </c>
    </row>
    <row r="475" spans="26:26">
      <c r="Z475" t="str">
        <f t="shared" si="4"/>
        <v/>
      </c>
    </row>
    <row r="476" spans="26:26">
      <c r="Z476" t="str">
        <f t="shared" si="4"/>
        <v/>
      </c>
    </row>
    <row r="477" spans="26:26">
      <c r="Z477" t="str">
        <f t="shared" si="4"/>
        <v/>
      </c>
    </row>
    <row r="478" spans="26:26">
      <c r="Z478" t="str">
        <f t="shared" si="4"/>
        <v/>
      </c>
    </row>
    <row r="479" spans="26:26">
      <c r="Z479" t="str">
        <f t="shared" si="4"/>
        <v/>
      </c>
    </row>
    <row r="480" spans="26:26">
      <c r="Z480" t="str">
        <f t="shared" si="4"/>
        <v/>
      </c>
    </row>
    <row r="481" spans="26:26">
      <c r="Z481" t="str">
        <f t="shared" si="4"/>
        <v/>
      </c>
    </row>
    <row r="482" spans="26:26">
      <c r="Z482" t="str">
        <f t="shared" si="4"/>
        <v/>
      </c>
    </row>
    <row r="483" spans="26:26">
      <c r="Z483" t="str">
        <f t="shared" si="4"/>
        <v/>
      </c>
    </row>
    <row r="484" spans="26:26">
      <c r="Z484" t="str">
        <f t="shared" si="4"/>
        <v/>
      </c>
    </row>
    <row r="485" spans="26:26">
      <c r="Z485" t="str">
        <f t="shared" si="4"/>
        <v/>
      </c>
    </row>
    <row r="486" spans="26:26">
      <c r="Z486" t="str">
        <f t="shared" si="4"/>
        <v/>
      </c>
    </row>
    <row r="487" spans="26:26">
      <c r="Z487" t="str">
        <f t="shared" si="4"/>
        <v/>
      </c>
    </row>
    <row r="488" spans="26:26">
      <c r="Z488" t="str">
        <f t="shared" si="4"/>
        <v/>
      </c>
    </row>
    <row r="489" spans="26:26">
      <c r="Z489" t="str">
        <f t="shared" si="4"/>
        <v/>
      </c>
    </row>
    <row r="490" spans="26:26">
      <c r="Z490" t="str">
        <f t="shared" si="4"/>
        <v/>
      </c>
    </row>
    <row r="491" spans="26:26">
      <c r="Z491" t="str">
        <f t="shared" si="4"/>
        <v/>
      </c>
    </row>
    <row r="492" spans="26:26">
      <c r="Z492" t="str">
        <f t="shared" si="4"/>
        <v/>
      </c>
    </row>
    <row r="493" spans="26:26">
      <c r="Z493" t="str">
        <f t="shared" si="4"/>
        <v/>
      </c>
    </row>
    <row r="494" spans="26:26">
      <c r="Z494" t="str">
        <f t="shared" ref="Z494:Z557" si="5">IF(ROW()-ROW($E$71)+1&lt;=$F$28,$F$14,"")</f>
        <v/>
      </c>
    </row>
    <row r="495" spans="26:26">
      <c r="Z495" t="str">
        <f t="shared" si="5"/>
        <v/>
      </c>
    </row>
    <row r="496" spans="26:26">
      <c r="Z496" t="str">
        <f t="shared" si="5"/>
        <v/>
      </c>
    </row>
    <row r="497" spans="26:26">
      <c r="Z497" t="str">
        <f t="shared" si="5"/>
        <v/>
      </c>
    </row>
    <row r="498" spans="26:26">
      <c r="Z498" t="str">
        <f t="shared" si="5"/>
        <v/>
      </c>
    </row>
    <row r="499" spans="26:26">
      <c r="Z499" t="str">
        <f t="shared" si="5"/>
        <v/>
      </c>
    </row>
    <row r="500" spans="26:26">
      <c r="Z500" t="str">
        <f t="shared" si="5"/>
        <v/>
      </c>
    </row>
    <row r="501" spans="26:26">
      <c r="Z501" t="str">
        <f t="shared" si="5"/>
        <v/>
      </c>
    </row>
    <row r="502" spans="26:26">
      <c r="Z502" t="str">
        <f t="shared" si="5"/>
        <v/>
      </c>
    </row>
    <row r="503" spans="26:26">
      <c r="Z503" t="str">
        <f t="shared" si="5"/>
        <v/>
      </c>
    </row>
    <row r="504" spans="26:26">
      <c r="Z504" t="str">
        <f t="shared" si="5"/>
        <v/>
      </c>
    </row>
    <row r="505" spans="26:26">
      <c r="Z505" t="str">
        <f t="shared" si="5"/>
        <v/>
      </c>
    </row>
    <row r="506" spans="26:26">
      <c r="Z506" t="str">
        <f t="shared" si="5"/>
        <v/>
      </c>
    </row>
    <row r="507" spans="26:26">
      <c r="Z507" t="str">
        <f t="shared" si="5"/>
        <v/>
      </c>
    </row>
    <row r="508" spans="26:26">
      <c r="Z508" t="str">
        <f t="shared" si="5"/>
        <v/>
      </c>
    </row>
    <row r="509" spans="26:26">
      <c r="Z509" t="str">
        <f t="shared" si="5"/>
        <v/>
      </c>
    </row>
    <row r="510" spans="26:26">
      <c r="Z510" t="str">
        <f t="shared" si="5"/>
        <v/>
      </c>
    </row>
    <row r="511" spans="26:26">
      <c r="Z511" t="str">
        <f t="shared" si="5"/>
        <v/>
      </c>
    </row>
    <row r="512" spans="26:26">
      <c r="Z512" t="str">
        <f t="shared" si="5"/>
        <v/>
      </c>
    </row>
    <row r="513" spans="26:26">
      <c r="Z513" t="str">
        <f t="shared" si="5"/>
        <v/>
      </c>
    </row>
    <row r="514" spans="26:26">
      <c r="Z514" t="str">
        <f t="shared" si="5"/>
        <v/>
      </c>
    </row>
    <row r="515" spans="26:26">
      <c r="Z515" t="str">
        <f t="shared" si="5"/>
        <v/>
      </c>
    </row>
    <row r="516" spans="26:26">
      <c r="Z516" t="str">
        <f t="shared" si="5"/>
        <v/>
      </c>
    </row>
    <row r="517" spans="26:26">
      <c r="Z517" t="str">
        <f t="shared" si="5"/>
        <v/>
      </c>
    </row>
    <row r="518" spans="26:26">
      <c r="Z518" t="str">
        <f t="shared" si="5"/>
        <v/>
      </c>
    </row>
    <row r="519" spans="26:26">
      <c r="Z519" t="str">
        <f t="shared" si="5"/>
        <v/>
      </c>
    </row>
    <row r="520" spans="26:26">
      <c r="Z520" t="str">
        <f t="shared" si="5"/>
        <v/>
      </c>
    </row>
    <row r="521" spans="26:26">
      <c r="Z521" t="str">
        <f t="shared" si="5"/>
        <v/>
      </c>
    </row>
    <row r="522" spans="26:26">
      <c r="Z522" t="str">
        <f t="shared" si="5"/>
        <v/>
      </c>
    </row>
    <row r="523" spans="26:26">
      <c r="Z523" t="str">
        <f t="shared" si="5"/>
        <v/>
      </c>
    </row>
    <row r="524" spans="26:26">
      <c r="Z524" t="str">
        <f t="shared" si="5"/>
        <v/>
      </c>
    </row>
    <row r="525" spans="26:26">
      <c r="Z525" t="str">
        <f t="shared" si="5"/>
        <v/>
      </c>
    </row>
    <row r="526" spans="26:26">
      <c r="Z526" t="str">
        <f t="shared" si="5"/>
        <v/>
      </c>
    </row>
    <row r="527" spans="26:26">
      <c r="Z527" t="str">
        <f t="shared" si="5"/>
        <v/>
      </c>
    </row>
    <row r="528" spans="26:26">
      <c r="Z528" t="str">
        <f t="shared" si="5"/>
        <v/>
      </c>
    </row>
    <row r="529" spans="26:26">
      <c r="Z529" t="str">
        <f t="shared" si="5"/>
        <v/>
      </c>
    </row>
    <row r="530" spans="26:26">
      <c r="Z530" t="str">
        <f t="shared" si="5"/>
        <v/>
      </c>
    </row>
    <row r="531" spans="26:26">
      <c r="Z531" t="str">
        <f t="shared" si="5"/>
        <v/>
      </c>
    </row>
    <row r="532" spans="26:26">
      <c r="Z532" t="str">
        <f t="shared" si="5"/>
        <v/>
      </c>
    </row>
    <row r="533" spans="26:26">
      <c r="Z533" t="str">
        <f t="shared" si="5"/>
        <v/>
      </c>
    </row>
    <row r="534" spans="26:26">
      <c r="Z534" t="str">
        <f t="shared" si="5"/>
        <v/>
      </c>
    </row>
    <row r="535" spans="26:26">
      <c r="Z535" t="str">
        <f t="shared" si="5"/>
        <v/>
      </c>
    </row>
    <row r="536" spans="26:26">
      <c r="Z536" t="str">
        <f t="shared" si="5"/>
        <v/>
      </c>
    </row>
    <row r="537" spans="26:26">
      <c r="Z537" t="str">
        <f t="shared" si="5"/>
        <v/>
      </c>
    </row>
    <row r="538" spans="26:26">
      <c r="Z538" t="str">
        <f t="shared" si="5"/>
        <v/>
      </c>
    </row>
    <row r="539" spans="26:26">
      <c r="Z539" t="str">
        <f t="shared" si="5"/>
        <v/>
      </c>
    </row>
    <row r="540" spans="26:26">
      <c r="Z540" t="str">
        <f t="shared" si="5"/>
        <v/>
      </c>
    </row>
    <row r="541" spans="26:26">
      <c r="Z541" t="str">
        <f t="shared" si="5"/>
        <v/>
      </c>
    </row>
    <row r="542" spans="26:26">
      <c r="Z542" t="str">
        <f t="shared" si="5"/>
        <v/>
      </c>
    </row>
    <row r="543" spans="26:26">
      <c r="Z543" t="str">
        <f t="shared" si="5"/>
        <v/>
      </c>
    </row>
    <row r="544" spans="26:26">
      <c r="Z544" t="str">
        <f t="shared" si="5"/>
        <v/>
      </c>
    </row>
    <row r="545" spans="26:26">
      <c r="Z545" t="str">
        <f t="shared" si="5"/>
        <v/>
      </c>
    </row>
    <row r="546" spans="26:26">
      <c r="Z546" t="str">
        <f t="shared" si="5"/>
        <v/>
      </c>
    </row>
    <row r="547" spans="26:26">
      <c r="Z547" t="str">
        <f t="shared" si="5"/>
        <v/>
      </c>
    </row>
    <row r="548" spans="26:26">
      <c r="Z548" t="str">
        <f t="shared" si="5"/>
        <v/>
      </c>
    </row>
    <row r="549" spans="26:26">
      <c r="Z549" t="str">
        <f t="shared" si="5"/>
        <v/>
      </c>
    </row>
    <row r="550" spans="26:26">
      <c r="Z550" t="str">
        <f t="shared" si="5"/>
        <v/>
      </c>
    </row>
    <row r="551" spans="26:26">
      <c r="Z551" t="str">
        <f t="shared" si="5"/>
        <v/>
      </c>
    </row>
    <row r="552" spans="26:26">
      <c r="Z552" t="str">
        <f t="shared" si="5"/>
        <v/>
      </c>
    </row>
    <row r="553" spans="26:26">
      <c r="Z553" t="str">
        <f t="shared" si="5"/>
        <v/>
      </c>
    </row>
    <row r="554" spans="26:26">
      <c r="Z554" t="str">
        <f t="shared" si="5"/>
        <v/>
      </c>
    </row>
    <row r="555" spans="26:26">
      <c r="Z555" t="str">
        <f t="shared" si="5"/>
        <v/>
      </c>
    </row>
    <row r="556" spans="26:26">
      <c r="Z556" t="str">
        <f t="shared" si="5"/>
        <v/>
      </c>
    </row>
    <row r="557" spans="26:26">
      <c r="Z557" t="str">
        <f t="shared" si="5"/>
        <v/>
      </c>
    </row>
    <row r="558" spans="26:26">
      <c r="Z558" t="str">
        <f t="shared" ref="Z558:Z621" si="6">IF(ROW()-ROW($E$71)+1&lt;=$F$28,$F$14,"")</f>
        <v/>
      </c>
    </row>
    <row r="559" spans="26:26">
      <c r="Z559" t="str">
        <f t="shared" si="6"/>
        <v/>
      </c>
    </row>
    <row r="560" spans="26:26">
      <c r="Z560" t="str">
        <f t="shared" si="6"/>
        <v/>
      </c>
    </row>
    <row r="561" spans="26:26">
      <c r="Z561" t="str">
        <f t="shared" si="6"/>
        <v/>
      </c>
    </row>
    <row r="562" spans="26:26">
      <c r="Z562" t="str">
        <f t="shared" si="6"/>
        <v/>
      </c>
    </row>
    <row r="563" spans="26:26">
      <c r="Z563" t="str">
        <f t="shared" si="6"/>
        <v/>
      </c>
    </row>
    <row r="564" spans="26:26">
      <c r="Z564" t="str">
        <f t="shared" si="6"/>
        <v/>
      </c>
    </row>
    <row r="565" spans="26:26">
      <c r="Z565" t="str">
        <f t="shared" si="6"/>
        <v/>
      </c>
    </row>
    <row r="566" spans="26:26">
      <c r="Z566" t="str">
        <f t="shared" si="6"/>
        <v/>
      </c>
    </row>
    <row r="567" spans="26:26">
      <c r="Z567" t="str">
        <f t="shared" si="6"/>
        <v/>
      </c>
    </row>
    <row r="568" spans="26:26">
      <c r="Z568" t="str">
        <f t="shared" si="6"/>
        <v/>
      </c>
    </row>
    <row r="569" spans="26:26">
      <c r="Z569" t="str">
        <f t="shared" si="6"/>
        <v/>
      </c>
    </row>
    <row r="570" spans="26:26">
      <c r="Z570" t="str">
        <f t="shared" si="6"/>
        <v/>
      </c>
    </row>
    <row r="571" spans="26:26">
      <c r="Z571" t="str">
        <f t="shared" si="6"/>
        <v/>
      </c>
    </row>
    <row r="572" spans="26:26">
      <c r="Z572" t="str">
        <f t="shared" si="6"/>
        <v/>
      </c>
    </row>
    <row r="573" spans="26:26">
      <c r="Z573" t="str">
        <f t="shared" si="6"/>
        <v/>
      </c>
    </row>
    <row r="574" spans="26:26">
      <c r="Z574" t="str">
        <f t="shared" si="6"/>
        <v/>
      </c>
    </row>
    <row r="575" spans="26:26">
      <c r="Z575" t="str">
        <f t="shared" si="6"/>
        <v/>
      </c>
    </row>
    <row r="576" spans="26:26">
      <c r="Z576" t="str">
        <f t="shared" si="6"/>
        <v/>
      </c>
    </row>
    <row r="577" spans="26:26">
      <c r="Z577" t="str">
        <f t="shared" si="6"/>
        <v/>
      </c>
    </row>
    <row r="578" spans="26:26">
      <c r="Z578" t="str">
        <f t="shared" si="6"/>
        <v/>
      </c>
    </row>
    <row r="579" spans="26:26">
      <c r="Z579" t="str">
        <f t="shared" si="6"/>
        <v/>
      </c>
    </row>
    <row r="580" spans="26:26">
      <c r="Z580" t="str">
        <f t="shared" si="6"/>
        <v/>
      </c>
    </row>
    <row r="581" spans="26:26">
      <c r="Z581" t="str">
        <f t="shared" si="6"/>
        <v/>
      </c>
    </row>
    <row r="582" spans="26:26">
      <c r="Z582" t="str">
        <f t="shared" si="6"/>
        <v/>
      </c>
    </row>
    <row r="583" spans="26:26">
      <c r="Z583" t="str">
        <f t="shared" si="6"/>
        <v/>
      </c>
    </row>
    <row r="584" spans="26:26">
      <c r="Z584" t="str">
        <f t="shared" si="6"/>
        <v/>
      </c>
    </row>
    <row r="585" spans="26:26">
      <c r="Z585" t="str">
        <f t="shared" si="6"/>
        <v/>
      </c>
    </row>
    <row r="586" spans="26:26">
      <c r="Z586" t="str">
        <f t="shared" si="6"/>
        <v/>
      </c>
    </row>
    <row r="587" spans="26:26">
      <c r="Z587" t="str">
        <f t="shared" si="6"/>
        <v/>
      </c>
    </row>
    <row r="588" spans="26:26">
      <c r="Z588" t="str">
        <f t="shared" si="6"/>
        <v/>
      </c>
    </row>
    <row r="589" spans="26:26">
      <c r="Z589" t="str">
        <f t="shared" si="6"/>
        <v/>
      </c>
    </row>
    <row r="590" spans="26:26">
      <c r="Z590" t="str">
        <f t="shared" si="6"/>
        <v/>
      </c>
    </row>
    <row r="591" spans="26:26">
      <c r="Z591" t="str">
        <f t="shared" si="6"/>
        <v/>
      </c>
    </row>
    <row r="592" spans="26:26">
      <c r="Z592" t="str">
        <f t="shared" si="6"/>
        <v/>
      </c>
    </row>
    <row r="593" spans="26:26">
      <c r="Z593" t="str">
        <f t="shared" si="6"/>
        <v/>
      </c>
    </row>
    <row r="594" spans="26:26">
      <c r="Z594" t="str">
        <f t="shared" si="6"/>
        <v/>
      </c>
    </row>
    <row r="595" spans="26:26">
      <c r="Z595" t="str">
        <f t="shared" si="6"/>
        <v/>
      </c>
    </row>
    <row r="596" spans="26:26">
      <c r="Z596" t="str">
        <f t="shared" si="6"/>
        <v/>
      </c>
    </row>
    <row r="597" spans="26:26">
      <c r="Z597" t="str">
        <f t="shared" si="6"/>
        <v/>
      </c>
    </row>
    <row r="598" spans="26:26">
      <c r="Z598" t="str">
        <f t="shared" si="6"/>
        <v/>
      </c>
    </row>
    <row r="599" spans="26:26">
      <c r="Z599" t="str">
        <f t="shared" si="6"/>
        <v/>
      </c>
    </row>
    <row r="600" spans="26:26">
      <c r="Z600" t="str">
        <f t="shared" si="6"/>
        <v/>
      </c>
    </row>
    <row r="601" spans="26:26">
      <c r="Z601" t="str">
        <f t="shared" si="6"/>
        <v/>
      </c>
    </row>
    <row r="602" spans="26:26">
      <c r="Z602" t="str">
        <f t="shared" si="6"/>
        <v/>
      </c>
    </row>
    <row r="603" spans="26:26">
      <c r="Z603" t="str">
        <f t="shared" si="6"/>
        <v/>
      </c>
    </row>
    <row r="604" spans="26:26">
      <c r="Z604" t="str">
        <f t="shared" si="6"/>
        <v/>
      </c>
    </row>
    <row r="605" spans="26:26">
      <c r="Z605" t="str">
        <f t="shared" si="6"/>
        <v/>
      </c>
    </row>
    <row r="606" spans="26:26">
      <c r="Z606" t="str">
        <f t="shared" si="6"/>
        <v/>
      </c>
    </row>
    <row r="607" spans="26:26">
      <c r="Z607" t="str">
        <f t="shared" si="6"/>
        <v/>
      </c>
    </row>
    <row r="608" spans="26:26">
      <c r="Z608" t="str">
        <f t="shared" si="6"/>
        <v/>
      </c>
    </row>
    <row r="609" spans="26:26">
      <c r="Z609" t="str">
        <f t="shared" si="6"/>
        <v/>
      </c>
    </row>
    <row r="610" spans="26:26">
      <c r="Z610" t="str">
        <f t="shared" si="6"/>
        <v/>
      </c>
    </row>
    <row r="611" spans="26:26">
      <c r="Z611" t="str">
        <f t="shared" si="6"/>
        <v/>
      </c>
    </row>
    <row r="612" spans="26:26">
      <c r="Z612" t="str">
        <f t="shared" si="6"/>
        <v/>
      </c>
    </row>
    <row r="613" spans="26:26">
      <c r="Z613" t="str">
        <f t="shared" si="6"/>
        <v/>
      </c>
    </row>
    <row r="614" spans="26:26">
      <c r="Z614" t="str">
        <f t="shared" si="6"/>
        <v/>
      </c>
    </row>
    <row r="615" spans="26:26">
      <c r="Z615" t="str">
        <f t="shared" si="6"/>
        <v/>
      </c>
    </row>
    <row r="616" spans="26:26">
      <c r="Z616" t="str">
        <f t="shared" si="6"/>
        <v/>
      </c>
    </row>
    <row r="617" spans="26:26">
      <c r="Z617" t="str">
        <f t="shared" si="6"/>
        <v/>
      </c>
    </row>
    <row r="618" spans="26:26">
      <c r="Z618" t="str">
        <f t="shared" si="6"/>
        <v/>
      </c>
    </row>
    <row r="619" spans="26:26">
      <c r="Z619" t="str">
        <f t="shared" si="6"/>
        <v/>
      </c>
    </row>
    <row r="620" spans="26:26">
      <c r="Z620" t="str">
        <f t="shared" si="6"/>
        <v/>
      </c>
    </row>
    <row r="621" spans="26:26">
      <c r="Z621" t="str">
        <f t="shared" si="6"/>
        <v/>
      </c>
    </row>
    <row r="622" spans="26:26">
      <c r="Z622" t="str">
        <f t="shared" ref="Z622:Z645" si="7">IF(ROW()-ROW($E$71)+1&lt;=$F$28,$F$14,"")</f>
        <v/>
      </c>
    </row>
    <row r="623" spans="26:26">
      <c r="Z623" t="str">
        <f t="shared" si="7"/>
        <v/>
      </c>
    </row>
    <row r="624" spans="26:26">
      <c r="Z624" t="str">
        <f t="shared" si="7"/>
        <v/>
      </c>
    </row>
    <row r="625" spans="26:26">
      <c r="Z625" t="str">
        <f t="shared" si="7"/>
        <v/>
      </c>
    </row>
    <row r="626" spans="26:26">
      <c r="Z626" t="str">
        <f t="shared" si="7"/>
        <v/>
      </c>
    </row>
    <row r="627" spans="26:26">
      <c r="Z627" t="str">
        <f t="shared" si="7"/>
        <v/>
      </c>
    </row>
    <row r="628" spans="26:26">
      <c r="Z628" t="str">
        <f t="shared" si="7"/>
        <v/>
      </c>
    </row>
    <row r="629" spans="26:26">
      <c r="Z629" t="str">
        <f t="shared" si="7"/>
        <v/>
      </c>
    </row>
    <row r="630" spans="26:26">
      <c r="Z630" t="str">
        <f t="shared" si="7"/>
        <v/>
      </c>
    </row>
    <row r="631" spans="26:26">
      <c r="Z631" t="str">
        <f t="shared" si="7"/>
        <v/>
      </c>
    </row>
    <row r="632" spans="26:26">
      <c r="Z632" t="str">
        <f t="shared" si="7"/>
        <v/>
      </c>
    </row>
    <row r="633" spans="26:26">
      <c r="Z633" t="str">
        <f t="shared" si="7"/>
        <v/>
      </c>
    </row>
    <row r="634" spans="26:26">
      <c r="Z634" t="str">
        <f t="shared" si="7"/>
        <v/>
      </c>
    </row>
    <row r="635" spans="26:26">
      <c r="Z635" t="str">
        <f t="shared" si="7"/>
        <v/>
      </c>
    </row>
    <row r="636" spans="26:26">
      <c r="Z636" t="str">
        <f t="shared" si="7"/>
        <v/>
      </c>
    </row>
    <row r="637" spans="26:26">
      <c r="Z637" t="str">
        <f t="shared" si="7"/>
        <v/>
      </c>
    </row>
    <row r="638" spans="26:26">
      <c r="Z638" t="str">
        <f t="shared" si="7"/>
        <v/>
      </c>
    </row>
    <row r="639" spans="26:26">
      <c r="Z639" t="str">
        <f t="shared" si="7"/>
        <v/>
      </c>
    </row>
    <row r="640" spans="26:26">
      <c r="Z640" t="str">
        <f t="shared" si="7"/>
        <v/>
      </c>
    </row>
    <row r="641" spans="26:26">
      <c r="Z641" t="str">
        <f t="shared" si="7"/>
        <v/>
      </c>
    </row>
    <row r="642" spans="26:26">
      <c r="Z642" t="str">
        <f t="shared" si="7"/>
        <v/>
      </c>
    </row>
    <row r="643" spans="26:26">
      <c r="Z643" t="str">
        <f t="shared" si="7"/>
        <v/>
      </c>
    </row>
    <row r="644" spans="26:26">
      <c r="Z644" t="str">
        <f t="shared" si="7"/>
        <v/>
      </c>
    </row>
    <row r="645" spans="26:26">
      <c r="Z645" t="str">
        <f t="shared" si="7"/>
        <v/>
      </c>
    </row>
  </sheetData>
  <mergeCells count="1">
    <mergeCell ref="E10:F10"/>
  </mergeCells>
  <conditionalFormatting sqref="F35:H35 E31">
    <cfRule type="expression" dxfId="23" priority="7">
      <formula>$F$24&lt;&gt;"Moneyness *"</formula>
    </cfRule>
    <cfRule type="expression" dxfId="22" priority="8">
      <formula>$F$24="Moneyness *"</formula>
    </cfRule>
  </conditionalFormatting>
  <conditionalFormatting sqref="F26:F27">
    <cfRule type="expression" dxfId="21" priority="1">
      <formula>OR($F$24="Moneyness *", $F$24="Volatility")</formula>
    </cfRule>
    <cfRule type="expression" dxfId="20" priority="2">
      <formula>NOT(OR($F$24="Moneyness *", $F$24="Volatility"))</formula>
    </cfRule>
  </conditionalFormatting>
  <dataValidations count="10">
    <dataValidation type="list" allowBlank="1" showInputMessage="1" showErrorMessage="1" sqref="G10" xr:uid="{33964A7D-D0FC-485E-A82E-ED8598CCE396}">
      <formula1>$G$11:$G$12</formula1>
    </dataValidation>
    <dataValidation type="list" allowBlank="1" showInputMessage="1" showErrorMessage="1" sqref="F11" xr:uid="{600692D2-A531-485F-8ADC-7144FDCC8804}">
      <formula1>$S$4:$T$4</formula1>
    </dataValidation>
    <dataValidation type="list" allowBlank="1" showInputMessage="1" showErrorMessage="1" sqref="F12" xr:uid="{90F5708D-73C4-404C-8C9C-EAF28B0EC46E}">
      <formula1>$S$5:$T$5</formula1>
    </dataValidation>
    <dataValidation type="list" allowBlank="1" showInputMessage="1" showErrorMessage="1" sqref="F25" xr:uid="{6A32F90B-A3FF-48E6-AFA0-4EBA7E2364CE}">
      <formula1>$S$6:$W$6</formula1>
    </dataValidation>
    <dataValidation type="date" allowBlank="1" showInputMessage="1" showErrorMessage="1" sqref="F13" xr:uid="{0A7715B3-2EAD-4BD4-AF7B-8436AE3D1270}">
      <formula1>1</formula1>
      <formula2>2958465</formula2>
    </dataValidation>
    <dataValidation type="date" allowBlank="1" showInputMessage="1" showErrorMessage="1" sqref="E25" xr:uid="{E8E1F87E-B892-43BD-9CC6-6EDC82C4FB5E}">
      <formula1>R10</formula1>
      <formula2>#REF!</formula2>
    </dataValidation>
    <dataValidation type="date" allowBlank="1" showInputMessage="1" showErrorMessage="1" sqref="E24" xr:uid="{181CF22C-B433-4B63-B62A-36ACC5A59B45}">
      <formula1>R6</formula1>
      <formula2>V6</formula2>
    </dataValidation>
    <dataValidation type="date" allowBlank="1" showInputMessage="1" showErrorMessage="1" sqref="E26" xr:uid="{8790E3B6-69F7-4486-AB83-C6C802C9D8D8}">
      <formula1>R7</formula1>
      <formula2>T7</formula2>
    </dataValidation>
    <dataValidation type="list" allowBlank="1" showInputMessage="1" showErrorMessage="1" sqref="F24" xr:uid="{D11457A2-055B-430C-BF92-B4402CF387EE}">
      <formula1>$S$7:$V$7</formula1>
    </dataValidation>
    <dataValidation type="date" allowBlank="1" showInputMessage="1" showErrorMessage="1" sqref="E27:E28 F26:F28" xr:uid="{776FD2C3-CA06-4D17-AEEF-9B7AEC89091D}">
      <formula1>R7</formula1>
      <formula2>V7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6" r:id="rId4" name="Button 32">
              <controlPr defaultSize="0" print="0" autoFill="0" autoPict="0" macro="[0]!SaveCellToCSVAndRunCPP">
                <anchor moveWithCells="1" sizeWithCells="1">
                  <from>
                    <xdr:col>7</xdr:col>
                    <xdr:colOff>60960</xdr:colOff>
                    <xdr:row>8</xdr:row>
                    <xdr:rowOff>137160</xdr:rowOff>
                  </from>
                  <to>
                    <xdr:col>8</xdr:col>
                    <xdr:colOff>1005840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613D9-B452-2445-BFE4-497CB47CAA74}">
  <sheetPr codeName="Sheet2"/>
  <dimension ref="A3:J19"/>
  <sheetViews>
    <sheetView tabSelected="1" zoomScale="115" zoomScaleNormal="115" workbookViewId="0">
      <selection activeCell="H6" sqref="H6"/>
    </sheetView>
  </sheetViews>
  <sheetFormatPr baseColWidth="10" defaultRowHeight="15.6"/>
  <cols>
    <col min="2" max="2" width="13.5" customWidth="1"/>
    <col min="3" max="3" width="19.296875" customWidth="1"/>
    <col min="4" max="4" width="19.19921875" bestFit="1" customWidth="1"/>
    <col min="5" max="5" width="12.5" bestFit="1" customWidth="1"/>
    <col min="6" max="6" width="12.8984375" customWidth="1"/>
    <col min="7" max="7" width="19.19921875" customWidth="1"/>
    <col min="8" max="8" width="19.19921875" bestFit="1" customWidth="1"/>
  </cols>
  <sheetData>
    <row r="3" spans="1:10" ht="16.2" thickBot="1"/>
    <row r="4" spans="1:10" ht="18.600000000000001" customHeight="1">
      <c r="B4" s="84" t="s">
        <v>49</v>
      </c>
      <c r="C4" s="46" t="s">
        <v>47</v>
      </c>
      <c r="D4" s="47" t="s">
        <v>48</v>
      </c>
      <c r="F4" s="84" t="s">
        <v>50</v>
      </c>
      <c r="G4" s="46" t="s">
        <v>47</v>
      </c>
      <c r="H4" s="47" t="s">
        <v>48</v>
      </c>
    </row>
    <row r="5" spans="1:10" ht="15.6" customHeight="1" thickBot="1">
      <c r="B5" s="85"/>
      <c r="C5" s="48">
        <v>0.04</v>
      </c>
      <c r="D5" s="29">
        <v>0.06</v>
      </c>
      <c r="F5" s="85"/>
      <c r="G5" s="48">
        <v>-0.04</v>
      </c>
      <c r="H5" s="29">
        <v>-0.06</v>
      </c>
    </row>
    <row r="6" spans="1:10" ht="16.2" thickBot="1">
      <c r="B6" s="85"/>
      <c r="D6" s="79"/>
      <c r="F6" s="85"/>
      <c r="H6" s="79"/>
    </row>
    <row r="7" spans="1:10" ht="16.2" thickBot="1">
      <c r="A7" s="5"/>
      <c r="B7" s="85"/>
      <c r="C7" s="89" t="s">
        <v>69</v>
      </c>
      <c r="D7" s="90"/>
      <c r="E7" s="5"/>
      <c r="F7" s="85"/>
      <c r="G7" s="89" t="s">
        <v>69</v>
      </c>
      <c r="H7" s="90"/>
      <c r="I7" s="5"/>
      <c r="J7" s="5"/>
    </row>
    <row r="8" spans="1:10">
      <c r="A8" s="5"/>
      <c r="B8" s="85"/>
      <c r="C8" s="44" t="s">
        <v>46</v>
      </c>
      <c r="D8" s="45" t="s">
        <v>8</v>
      </c>
      <c r="E8" s="40"/>
      <c r="F8" s="85"/>
      <c r="G8" s="44" t="s">
        <v>46</v>
      </c>
      <c r="H8" s="45" t="s">
        <v>8</v>
      </c>
      <c r="I8" s="5"/>
      <c r="J8" s="5"/>
    </row>
    <row r="9" spans="1:10">
      <c r="A9" s="5"/>
      <c r="B9" s="85"/>
      <c r="C9" s="39" t="s">
        <v>10</v>
      </c>
      <c r="D9" s="53">
        <v>4.4297300000000002</v>
      </c>
      <c r="E9" s="5"/>
      <c r="F9" s="85"/>
      <c r="G9" s="39" t="s">
        <v>10</v>
      </c>
      <c r="H9" s="53">
        <v>1.77033</v>
      </c>
      <c r="I9" s="5"/>
      <c r="J9" s="5"/>
    </row>
    <row r="10" spans="1:10">
      <c r="A10" s="5"/>
      <c r="B10" s="85"/>
      <c r="C10" s="39" t="s">
        <v>9</v>
      </c>
      <c r="D10" s="53">
        <v>4.4297300000000002</v>
      </c>
      <c r="E10" s="5"/>
      <c r="F10" s="85"/>
      <c r="G10" s="39" t="s">
        <v>9</v>
      </c>
      <c r="H10" s="53">
        <v>1.9599599999999999</v>
      </c>
      <c r="I10" s="5"/>
      <c r="J10" s="5"/>
    </row>
    <row r="11" spans="1:10">
      <c r="A11" s="5"/>
      <c r="B11" s="85"/>
      <c r="C11" s="39" t="s">
        <v>11</v>
      </c>
      <c r="D11" s="53">
        <v>10.078799999999999</v>
      </c>
      <c r="E11" s="5"/>
      <c r="F11" s="85"/>
      <c r="G11" s="39" t="s">
        <v>11</v>
      </c>
      <c r="H11" s="53">
        <v>18.406700000000001</v>
      </c>
      <c r="I11" s="5"/>
      <c r="J11" s="5"/>
    </row>
    <row r="12" spans="1:10" ht="16.2" thickBot="1">
      <c r="A12" s="5"/>
      <c r="B12" s="85"/>
      <c r="C12" s="42" t="s">
        <v>45</v>
      </c>
      <c r="D12" s="54">
        <v>11.400700000000001</v>
      </c>
      <c r="E12" s="5"/>
      <c r="F12" s="85"/>
      <c r="G12" s="42" t="s">
        <v>45</v>
      </c>
      <c r="H12" s="54">
        <v>18.406700000000001</v>
      </c>
      <c r="I12" s="5"/>
      <c r="J12" s="5"/>
    </row>
    <row r="13" spans="1:10" ht="16.2" thickBot="1">
      <c r="A13" s="5"/>
      <c r="B13" s="85"/>
      <c r="C13" s="5"/>
      <c r="D13" s="41"/>
      <c r="E13" s="5"/>
      <c r="F13" s="85"/>
      <c r="G13" s="5"/>
      <c r="H13" s="41"/>
      <c r="I13" s="5"/>
      <c r="J13" s="5"/>
    </row>
    <row r="14" spans="1:10" ht="16.2" thickBot="1">
      <c r="A14" s="5"/>
      <c r="B14" s="85"/>
      <c r="C14" s="87" t="s">
        <v>65</v>
      </c>
      <c r="D14" s="88"/>
      <c r="E14" s="5"/>
      <c r="F14" s="85"/>
      <c r="G14" s="87" t="s">
        <v>65</v>
      </c>
      <c r="H14" s="88"/>
      <c r="I14" s="5"/>
      <c r="J14" s="5"/>
    </row>
    <row r="15" spans="1:10" hidden="1">
      <c r="A15" s="5"/>
      <c r="B15" s="85"/>
      <c r="C15" s="80" t="s">
        <v>63</v>
      </c>
      <c r="D15" s="81">
        <f>'Prices &amp; Greeks'!$F$14*EXP(-(C5+D5)/2*('Prices &amp; Greeks'!$F$13-'Prices &amp; Greeks'!$F$15)/365)</f>
        <v>104.63523669507855</v>
      </c>
      <c r="E15" s="5"/>
      <c r="F15" s="85"/>
      <c r="G15" s="80" t="s">
        <v>63</v>
      </c>
      <c r="H15" s="81">
        <f>'Prices &amp; Greeks'!$F$14*EXP(-(G5+H5)/2*('Prices &amp; Greeks'!$F$13-'Prices &amp; Greeks'!$F$15)/365)</f>
        <v>115.63982060136266</v>
      </c>
      <c r="I15" s="5"/>
      <c r="J15" s="5"/>
    </row>
    <row r="16" spans="1:10" ht="31.2" hidden="1">
      <c r="A16" s="5"/>
      <c r="B16" s="85"/>
      <c r="C16" s="78" t="s">
        <v>64</v>
      </c>
      <c r="D16" s="24">
        <f>'Prices &amp; Greeks'!$F$16*EXP(-'Prices &amp; Greeks'!$F$20*('Prices &amp; Greeks'!$F$13-'Prices &amp; Greeks'!$F$15)/365)</f>
        <v>99.004983374916804</v>
      </c>
      <c r="E16" s="5"/>
      <c r="F16" s="85"/>
      <c r="G16" s="78" t="s">
        <v>64</v>
      </c>
      <c r="H16" s="24">
        <f>'Prices &amp; Greeks'!$F$16*EXP(-'Prices &amp; Greeks'!$F$20*('Prices &amp; Greeks'!$F$13-'Prices &amp; Greeks'!$F$15)/365)</f>
        <v>99.004983374916804</v>
      </c>
      <c r="I16" s="5"/>
      <c r="J16" s="5"/>
    </row>
    <row r="17" spans="1:10">
      <c r="A17" s="5"/>
      <c r="B17" s="85"/>
      <c r="C17" s="39" t="s">
        <v>67</v>
      </c>
      <c r="D17" s="53">
        <f>D9+D15</f>
        <v>109.06496669507855</v>
      </c>
      <c r="E17" s="5"/>
      <c r="F17" s="85"/>
      <c r="G17" s="39" t="s">
        <v>67</v>
      </c>
      <c r="H17" s="53">
        <f>H9+H15</f>
        <v>117.41015060136266</v>
      </c>
      <c r="I17" s="5"/>
      <c r="J17" s="5"/>
    </row>
    <row r="18" spans="1:10">
      <c r="B18" s="85"/>
      <c r="C18" s="39" t="s">
        <v>68</v>
      </c>
      <c r="D18" s="53">
        <f>D11+D16</f>
        <v>109.08378337491681</v>
      </c>
      <c r="F18" s="85"/>
      <c r="G18" s="39" t="s">
        <v>68</v>
      </c>
      <c r="H18" s="53">
        <f>H11+H16</f>
        <v>117.41168337491681</v>
      </c>
    </row>
    <row r="19" spans="1:10" ht="16.2" thickBot="1">
      <c r="B19" s="86"/>
      <c r="C19" s="42" t="s">
        <v>66</v>
      </c>
      <c r="D19" s="54">
        <f>D9-D11+D15-D16</f>
        <v>-1.8816679838252526E-2</v>
      </c>
      <c r="F19" s="86"/>
      <c r="G19" s="42" t="s">
        <v>66</v>
      </c>
      <c r="H19" s="54">
        <f>H9-H11+H15-H16</f>
        <v>-1.5327735541461607E-3</v>
      </c>
    </row>
  </sheetData>
  <mergeCells count="6">
    <mergeCell ref="B4:B19"/>
    <mergeCell ref="C14:D14"/>
    <mergeCell ref="G14:H14"/>
    <mergeCell ref="C7:D7"/>
    <mergeCell ref="G7:H7"/>
    <mergeCell ref="F4:F19"/>
  </mergeCells>
  <conditionalFormatting sqref="H19 D19">
    <cfRule type="expression" dxfId="19" priority="19">
      <formula>ABS($D$19)&gt;1</formula>
    </cfRule>
    <cfRule type="expression" dxfId="18" priority="20">
      <formula>ABS($D$19)&lt;1</formula>
    </cfRule>
  </conditionalFormatting>
  <conditionalFormatting sqref="H9">
    <cfRule type="expression" dxfId="17" priority="14">
      <formula>ABS($H$9 - $H$10) &gt; 0.01</formula>
    </cfRule>
    <cfRule type="expression" dxfId="16" priority="16">
      <formula>ABS($H$9 - $H$10) &lt; 0.01</formula>
    </cfRule>
  </conditionalFormatting>
  <conditionalFormatting sqref="H10">
    <cfRule type="expression" dxfId="15" priority="13">
      <formula>ABS($H$9 - $H$10) &gt; 0.01</formula>
    </cfRule>
    <cfRule type="expression" dxfId="14" priority="15">
      <formula>ABS($H$9 - $H$10) &lt; 0.01</formula>
    </cfRule>
  </conditionalFormatting>
  <conditionalFormatting sqref="H11">
    <cfRule type="expression" dxfId="13" priority="10">
      <formula>ABS($H$11 - $H$12) &lt; 0.01</formula>
    </cfRule>
    <cfRule type="expression" dxfId="12" priority="12">
      <formula>ABS($H$11 - $H$12) &gt; 0.01</formula>
    </cfRule>
  </conditionalFormatting>
  <conditionalFormatting sqref="H12">
    <cfRule type="expression" dxfId="11" priority="9">
      <formula>ABS($H$11 - $H$12) &lt; 0.01</formula>
    </cfRule>
    <cfRule type="expression" dxfId="10" priority="11">
      <formula>ABS($H$11 - $H$12) &gt; 0.01</formula>
    </cfRule>
  </conditionalFormatting>
  <conditionalFormatting sqref="D9">
    <cfRule type="expression" dxfId="9" priority="6">
      <formula>ABS($D$9 - $D$10) &gt; 0.01</formula>
    </cfRule>
    <cfRule type="expression" dxfId="8" priority="8">
      <formula>ABS($D$9 - $D$10) &lt; 0.01</formula>
    </cfRule>
  </conditionalFormatting>
  <conditionalFormatting sqref="D10">
    <cfRule type="expression" dxfId="7" priority="5">
      <formula>ABS($D$9 - $D$10) &gt; 0.01</formula>
    </cfRule>
    <cfRule type="expression" dxfId="6" priority="7">
      <formula>ABS($D$9 - $D$10) &lt; 0.01</formula>
    </cfRule>
  </conditionalFormatting>
  <conditionalFormatting sqref="D11">
    <cfRule type="expression" dxfId="5" priority="2">
      <formula>ABS($D$11 - $D$12) &lt; 0.01</formula>
    </cfRule>
    <cfRule type="expression" dxfId="4" priority="4">
      <formula>ABS($D$11 - $D$12) &gt; 0.01</formula>
    </cfRule>
  </conditionalFormatting>
  <conditionalFormatting sqref="D12">
    <cfRule type="expression" dxfId="3" priority="1">
      <formula>ABS($D$11 - $D$12) &lt; 0.01</formula>
    </cfRule>
    <cfRule type="expression" dxfId="2" priority="3">
      <formula>ABS($D$11 - $D$12) &gt; 0.01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017F5-6FB5-1A49-8ABC-CF3D59412DE4}">
  <sheetPr codeName="Sheet3"/>
  <dimension ref="B1:M1004"/>
  <sheetViews>
    <sheetView topLeftCell="A2" zoomScale="122" zoomScaleNormal="115" workbookViewId="0">
      <selection activeCell="C21" sqref="C21"/>
    </sheetView>
  </sheetViews>
  <sheetFormatPr baseColWidth="10" defaultRowHeight="15.6"/>
  <cols>
    <col min="2" max="2" width="13.69921875" customWidth="1"/>
    <col min="3" max="3" width="17.69921875" bestFit="1" customWidth="1"/>
    <col min="5" max="5" width="26.19921875" customWidth="1"/>
    <col min="8" max="8" width="14.5" customWidth="1"/>
    <col min="13" max="13" width="11" hidden="1" customWidth="1"/>
  </cols>
  <sheetData>
    <row r="1" spans="2:13" hidden="1"/>
    <row r="2" spans="2:13" ht="16.2" thickBot="1"/>
    <row r="3" spans="2:13" ht="36.6" customHeight="1" thickBot="1">
      <c r="B3" s="72" t="s">
        <v>51</v>
      </c>
      <c r="C3" s="73" t="s">
        <v>62</v>
      </c>
    </row>
    <row r="4" spans="2:13">
      <c r="B4" s="74">
        <v>0.99931599999999998</v>
      </c>
      <c r="C4" s="75">
        <v>98.19</v>
      </c>
    </row>
    <row r="5" spans="2:13">
      <c r="B5" s="69">
        <v>0.98932200000000003</v>
      </c>
      <c r="C5" s="71">
        <v>98.25</v>
      </c>
    </row>
    <row r="6" spans="2:13">
      <c r="B6" s="69">
        <v>0.97932900000000001</v>
      </c>
      <c r="C6" s="71">
        <v>98.31</v>
      </c>
      <c r="M6" t="str">
        <f>_xlfn.CONCAT("Optimal Exercise Boundary of an American ",'Prices &amp; Greeks'!$F$11," Option")</f>
        <v>Optimal Exercise Boundary of an American Put Option</v>
      </c>
    </row>
    <row r="7" spans="2:13">
      <c r="B7" s="69">
        <v>0.96933599999999998</v>
      </c>
      <c r="C7" s="71">
        <v>98.37</v>
      </c>
    </row>
    <row r="8" spans="2:13">
      <c r="B8" s="69">
        <v>0.95934299999999995</v>
      </c>
      <c r="C8" s="71">
        <v>98.43</v>
      </c>
    </row>
    <row r="9" spans="2:13">
      <c r="B9" s="69">
        <v>0.94935000000000003</v>
      </c>
      <c r="C9" s="71">
        <v>98.49</v>
      </c>
    </row>
    <row r="10" spans="2:13">
      <c r="B10" s="69">
        <v>0.939357</v>
      </c>
      <c r="C10" s="71">
        <v>98.55</v>
      </c>
    </row>
    <row r="11" spans="2:13">
      <c r="B11" s="69">
        <v>0.92936300000000005</v>
      </c>
      <c r="C11" s="71">
        <v>98.61</v>
      </c>
    </row>
    <row r="12" spans="2:13">
      <c r="B12" s="69">
        <v>0.91937000000000002</v>
      </c>
      <c r="C12" s="71">
        <v>98.67</v>
      </c>
    </row>
    <row r="13" spans="2:13">
      <c r="B13" s="69">
        <v>0.90937699999999999</v>
      </c>
      <c r="C13" s="71">
        <v>98.73</v>
      </c>
    </row>
    <row r="14" spans="2:13">
      <c r="B14" s="69">
        <v>0.89938399999999996</v>
      </c>
      <c r="C14" s="71">
        <v>98.79</v>
      </c>
    </row>
    <row r="15" spans="2:13">
      <c r="B15" s="69">
        <v>0.88939100000000004</v>
      </c>
      <c r="C15" s="71">
        <v>98.85</v>
      </c>
    </row>
    <row r="16" spans="2:13">
      <c r="B16" s="69">
        <v>0.87939800000000001</v>
      </c>
      <c r="C16" s="71">
        <v>98.91</v>
      </c>
    </row>
    <row r="17" spans="2:3">
      <c r="B17" s="69">
        <v>0.86940499999999998</v>
      </c>
      <c r="C17" s="71">
        <v>98.97</v>
      </c>
    </row>
    <row r="18" spans="2:3">
      <c r="B18" s="69">
        <v>0.85941100000000004</v>
      </c>
      <c r="C18" s="71">
        <v>99.06</v>
      </c>
    </row>
    <row r="19" spans="2:3">
      <c r="B19" s="69">
        <v>0.84941800000000001</v>
      </c>
      <c r="C19" s="71">
        <v>99.12</v>
      </c>
    </row>
    <row r="20" spans="2:3">
      <c r="B20" s="69">
        <v>0.83942499999999998</v>
      </c>
      <c r="C20" s="71">
        <v>99.18</v>
      </c>
    </row>
    <row r="21" spans="2:3">
      <c r="B21" s="69">
        <v>0.82943199999999995</v>
      </c>
      <c r="C21" s="71">
        <v>99.24</v>
      </c>
    </row>
    <row r="22" spans="2:3">
      <c r="B22" s="69">
        <v>0.81943900000000003</v>
      </c>
      <c r="C22" s="71">
        <v>99.3</v>
      </c>
    </row>
    <row r="23" spans="2:3">
      <c r="B23" s="69">
        <v>0.809446</v>
      </c>
      <c r="C23" s="71">
        <v>99.39</v>
      </c>
    </row>
    <row r="24" spans="2:3">
      <c r="B24" s="69">
        <v>0.79945200000000005</v>
      </c>
      <c r="C24" s="71">
        <v>99.45</v>
      </c>
    </row>
    <row r="25" spans="2:3">
      <c r="B25" s="69">
        <v>0.78945900000000002</v>
      </c>
      <c r="C25" s="71">
        <v>99.51</v>
      </c>
    </row>
    <row r="26" spans="2:3">
      <c r="B26" s="69">
        <v>0.77946599999999999</v>
      </c>
      <c r="C26" s="71">
        <v>99.57</v>
      </c>
    </row>
    <row r="27" spans="2:3">
      <c r="B27" s="69">
        <v>0.76947299999999996</v>
      </c>
      <c r="C27" s="71">
        <v>99.66</v>
      </c>
    </row>
    <row r="28" spans="2:3">
      <c r="B28" s="69">
        <v>0.75948000000000004</v>
      </c>
      <c r="C28" s="71">
        <v>99.72</v>
      </c>
    </row>
    <row r="29" spans="2:3">
      <c r="B29" s="69">
        <v>0.74948700000000001</v>
      </c>
      <c r="C29" s="71">
        <v>99.78</v>
      </c>
    </row>
    <row r="30" spans="2:3">
      <c r="B30" s="69">
        <v>0.73949299999999996</v>
      </c>
      <c r="C30" s="71">
        <v>99.87</v>
      </c>
    </row>
    <row r="31" spans="2:3">
      <c r="B31" s="69">
        <v>0.72950000000000004</v>
      </c>
      <c r="C31" s="71">
        <v>99.93</v>
      </c>
    </row>
    <row r="32" spans="2:3">
      <c r="B32" s="69">
        <v>0.71950700000000001</v>
      </c>
      <c r="C32" s="71">
        <v>100.02</v>
      </c>
    </row>
    <row r="33" spans="2:3">
      <c r="B33" s="69">
        <v>0.70951399999999998</v>
      </c>
      <c r="C33" s="71">
        <v>100.08</v>
      </c>
    </row>
    <row r="34" spans="2:3">
      <c r="B34" s="69">
        <v>0.69952099999999995</v>
      </c>
      <c r="C34" s="71">
        <v>100.14</v>
      </c>
    </row>
    <row r="35" spans="2:3">
      <c r="B35" s="69">
        <v>0.68952800000000003</v>
      </c>
      <c r="C35" s="71">
        <v>100.23</v>
      </c>
    </row>
    <row r="36" spans="2:3">
      <c r="B36" s="69">
        <v>0.679535</v>
      </c>
      <c r="C36" s="71">
        <v>100.29</v>
      </c>
    </row>
    <row r="37" spans="2:3">
      <c r="B37" s="69">
        <v>0.66954100000000005</v>
      </c>
      <c r="C37" s="71">
        <v>100.38</v>
      </c>
    </row>
    <row r="38" spans="2:3">
      <c r="B38" s="69">
        <v>0.65954800000000002</v>
      </c>
      <c r="C38" s="71">
        <v>100.44</v>
      </c>
    </row>
    <row r="39" spans="2:3">
      <c r="B39" s="69">
        <v>0.64955499999999999</v>
      </c>
      <c r="C39" s="71">
        <v>100.53</v>
      </c>
    </row>
    <row r="40" spans="2:3">
      <c r="B40" s="69">
        <v>0.63956199999999996</v>
      </c>
      <c r="C40" s="71">
        <v>100.62</v>
      </c>
    </row>
    <row r="41" spans="2:3">
      <c r="B41" s="69">
        <v>0.62956900000000005</v>
      </c>
      <c r="C41" s="71">
        <v>100.68</v>
      </c>
    </row>
    <row r="42" spans="2:3">
      <c r="B42" s="69">
        <v>0.61957600000000002</v>
      </c>
      <c r="C42" s="71">
        <v>100.77</v>
      </c>
    </row>
    <row r="43" spans="2:3">
      <c r="B43" s="69">
        <v>0.60958199999999996</v>
      </c>
      <c r="C43" s="71">
        <v>100.86</v>
      </c>
    </row>
    <row r="44" spans="2:3">
      <c r="B44" s="69">
        <v>0.59958900000000004</v>
      </c>
      <c r="C44" s="71">
        <v>100.92</v>
      </c>
    </row>
    <row r="45" spans="2:3">
      <c r="B45" s="69">
        <v>0.58959600000000001</v>
      </c>
      <c r="C45" s="71">
        <v>101.01</v>
      </c>
    </row>
    <row r="46" spans="2:3">
      <c r="B46" s="69">
        <v>0.57960299999999998</v>
      </c>
      <c r="C46" s="71">
        <v>101.1</v>
      </c>
    </row>
    <row r="47" spans="2:3">
      <c r="B47" s="69">
        <v>0.56960999999999995</v>
      </c>
      <c r="C47" s="71">
        <v>101.16</v>
      </c>
    </row>
    <row r="48" spans="2:3">
      <c r="B48" s="69">
        <v>0.55961700000000003</v>
      </c>
      <c r="C48" s="71">
        <v>101.25</v>
      </c>
    </row>
    <row r="49" spans="2:3">
      <c r="B49" s="69">
        <v>0.549624</v>
      </c>
      <c r="C49" s="71">
        <v>101.34</v>
      </c>
    </row>
    <row r="50" spans="2:3">
      <c r="B50" s="69">
        <v>0.53963000000000005</v>
      </c>
      <c r="C50" s="71">
        <v>101.43</v>
      </c>
    </row>
    <row r="51" spans="2:3">
      <c r="B51" s="69">
        <v>0.52963700000000002</v>
      </c>
      <c r="C51" s="71">
        <v>101.52</v>
      </c>
    </row>
    <row r="52" spans="2:3">
      <c r="B52" s="69">
        <v>0.51964399999999999</v>
      </c>
      <c r="C52" s="71">
        <v>101.61</v>
      </c>
    </row>
    <row r="53" spans="2:3">
      <c r="B53" s="69">
        <v>0.50965099999999997</v>
      </c>
      <c r="C53" s="71">
        <v>101.7</v>
      </c>
    </row>
    <row r="54" spans="2:3">
      <c r="B54" s="69">
        <v>0.49965799999999999</v>
      </c>
      <c r="C54" s="71">
        <v>101.79</v>
      </c>
    </row>
    <row r="55" spans="2:3">
      <c r="B55" s="69">
        <v>0.48966500000000002</v>
      </c>
      <c r="C55" s="71">
        <v>101.88</v>
      </c>
    </row>
    <row r="56" spans="2:3">
      <c r="B56" s="69">
        <v>0.47967100000000001</v>
      </c>
      <c r="C56" s="71">
        <v>101.97</v>
      </c>
    </row>
    <row r="57" spans="2:3">
      <c r="B57" s="69">
        <v>0.46967799999999998</v>
      </c>
      <c r="C57" s="71">
        <v>102.06</v>
      </c>
    </row>
    <row r="58" spans="2:3">
      <c r="B58" s="69">
        <v>0.45968500000000001</v>
      </c>
      <c r="C58" s="71">
        <v>102.15</v>
      </c>
    </row>
    <row r="59" spans="2:3">
      <c r="B59" s="69">
        <v>0.44969199999999998</v>
      </c>
      <c r="C59" s="71">
        <v>102.27</v>
      </c>
    </row>
    <row r="60" spans="2:3">
      <c r="B60" s="69">
        <v>0.43969900000000001</v>
      </c>
      <c r="C60" s="71">
        <v>102.36</v>
      </c>
    </row>
    <row r="61" spans="2:3">
      <c r="B61" s="69">
        <v>0.42970599999999998</v>
      </c>
      <c r="C61" s="71">
        <v>102.45</v>
      </c>
    </row>
    <row r="62" spans="2:3">
      <c r="B62" s="69">
        <v>0.419713</v>
      </c>
      <c r="C62" s="71">
        <v>102.57</v>
      </c>
    </row>
    <row r="63" spans="2:3">
      <c r="B63" s="69">
        <v>0.409719</v>
      </c>
      <c r="C63" s="71">
        <v>102.66</v>
      </c>
    </row>
    <row r="64" spans="2:3">
      <c r="B64" s="69">
        <v>0.39972600000000003</v>
      </c>
      <c r="C64" s="71">
        <v>102.78</v>
      </c>
    </row>
    <row r="65" spans="2:3">
      <c r="B65" s="69">
        <v>0.389733</v>
      </c>
      <c r="C65" s="71">
        <v>102.87</v>
      </c>
    </row>
    <row r="66" spans="2:3">
      <c r="B66" s="69">
        <v>0.37974000000000002</v>
      </c>
      <c r="C66" s="71">
        <v>102.99</v>
      </c>
    </row>
    <row r="67" spans="2:3">
      <c r="B67" s="69">
        <v>0.36974699999999999</v>
      </c>
      <c r="C67" s="71">
        <v>103.11</v>
      </c>
    </row>
    <row r="68" spans="2:3">
      <c r="B68" s="69">
        <v>0.35975400000000002</v>
      </c>
      <c r="C68" s="71">
        <v>103.2</v>
      </c>
    </row>
    <row r="69" spans="2:3">
      <c r="B69" s="69">
        <v>0.34976000000000002</v>
      </c>
      <c r="C69" s="71">
        <v>103.32</v>
      </c>
    </row>
    <row r="70" spans="2:3">
      <c r="B70" s="69">
        <v>0.33976699999999999</v>
      </c>
      <c r="C70" s="71">
        <v>103.44</v>
      </c>
    </row>
    <row r="71" spans="2:3">
      <c r="B71" s="69">
        <v>0.32977400000000001</v>
      </c>
      <c r="C71" s="71">
        <v>103.56</v>
      </c>
    </row>
    <row r="72" spans="2:3">
      <c r="B72" s="69">
        <v>0.31978099999999998</v>
      </c>
      <c r="C72" s="71">
        <v>103.68</v>
      </c>
    </row>
    <row r="73" spans="2:3">
      <c r="B73" s="69">
        <v>0.30978800000000001</v>
      </c>
      <c r="C73" s="71">
        <v>103.8</v>
      </c>
    </row>
    <row r="74" spans="2:3">
      <c r="B74" s="69">
        <v>0.29979499999999998</v>
      </c>
      <c r="C74" s="71">
        <v>103.95</v>
      </c>
    </row>
    <row r="75" spans="2:3">
      <c r="B75" s="69">
        <v>0.289802</v>
      </c>
      <c r="C75" s="71">
        <v>104.07</v>
      </c>
    </row>
    <row r="76" spans="2:3">
      <c r="B76" s="69">
        <v>0.279808</v>
      </c>
      <c r="C76" s="71">
        <v>104.19</v>
      </c>
    </row>
    <row r="77" spans="2:3">
      <c r="B77" s="69">
        <v>0.26981500000000003</v>
      </c>
      <c r="C77" s="71">
        <v>104.34</v>
      </c>
    </row>
    <row r="78" spans="2:3">
      <c r="B78" s="69">
        <v>0.259822</v>
      </c>
      <c r="C78" s="71">
        <v>104.46</v>
      </c>
    </row>
    <row r="79" spans="2:3">
      <c r="B79" s="69">
        <v>0.249829</v>
      </c>
      <c r="C79" s="71">
        <v>104.61</v>
      </c>
    </row>
    <row r="80" spans="2:3">
      <c r="B80" s="69">
        <v>0.23983599999999999</v>
      </c>
      <c r="C80" s="71">
        <v>104.76</v>
      </c>
    </row>
    <row r="81" spans="2:3">
      <c r="B81" s="69">
        <v>0.22984299999999999</v>
      </c>
      <c r="C81" s="71">
        <v>104.91</v>
      </c>
    </row>
    <row r="82" spans="2:3">
      <c r="B82" s="69">
        <v>0.21984899999999999</v>
      </c>
      <c r="C82" s="71">
        <v>105.06</v>
      </c>
    </row>
    <row r="83" spans="2:3">
      <c r="B83" s="69">
        <v>0.20985599999999999</v>
      </c>
      <c r="C83" s="71">
        <v>105.24</v>
      </c>
    </row>
    <row r="84" spans="2:3">
      <c r="B84" s="69">
        <v>0.19986300000000001</v>
      </c>
      <c r="C84" s="71">
        <v>105.39</v>
      </c>
    </row>
    <row r="85" spans="2:3">
      <c r="B85" s="69">
        <v>0.18987000000000001</v>
      </c>
      <c r="C85" s="71">
        <v>105.57</v>
      </c>
    </row>
    <row r="86" spans="2:3">
      <c r="B86" s="69">
        <v>0.17987700000000001</v>
      </c>
      <c r="C86" s="71">
        <v>105.72</v>
      </c>
    </row>
    <row r="87" spans="2:3">
      <c r="B87" s="69">
        <v>0.16988400000000001</v>
      </c>
      <c r="C87" s="71">
        <v>105.93</v>
      </c>
    </row>
    <row r="88" spans="2:3">
      <c r="B88" s="69">
        <v>0.15989</v>
      </c>
      <c r="C88" s="71">
        <v>106.11</v>
      </c>
    </row>
    <row r="89" spans="2:3">
      <c r="B89" s="69">
        <v>0.149897</v>
      </c>
      <c r="C89" s="71">
        <v>106.29</v>
      </c>
    </row>
    <row r="90" spans="2:3">
      <c r="B90" s="69">
        <v>0.139904</v>
      </c>
      <c r="C90" s="71">
        <v>106.5</v>
      </c>
    </row>
    <row r="91" spans="2:3">
      <c r="B91" s="69">
        <v>0.129911</v>
      </c>
      <c r="C91" s="71">
        <v>106.71</v>
      </c>
    </row>
    <row r="92" spans="2:3">
      <c r="B92" s="69">
        <v>0.119918</v>
      </c>
      <c r="C92" s="71">
        <v>106.92</v>
      </c>
    </row>
    <row r="93" spans="2:3">
      <c r="B93" s="69">
        <v>0.10992499999999999</v>
      </c>
      <c r="C93" s="71">
        <v>107.16</v>
      </c>
    </row>
    <row r="94" spans="2:3">
      <c r="B94" s="69">
        <v>9.9931599999999995E-2</v>
      </c>
      <c r="C94" s="71">
        <v>107.4</v>
      </c>
    </row>
    <row r="95" spans="2:3">
      <c r="B95" s="69">
        <v>8.9938400000000002E-2</v>
      </c>
      <c r="C95" s="71">
        <v>107.67</v>
      </c>
    </row>
    <row r="96" spans="2:3">
      <c r="B96" s="69">
        <v>7.9945199999999994E-2</v>
      </c>
      <c r="C96" s="71">
        <v>107.94</v>
      </c>
    </row>
    <row r="97" spans="2:3">
      <c r="B97" s="69">
        <v>6.9952100000000003E-2</v>
      </c>
      <c r="C97" s="71">
        <v>108.21</v>
      </c>
    </row>
    <row r="98" spans="2:3">
      <c r="B98" s="69">
        <v>5.9958900000000002E-2</v>
      </c>
      <c r="C98" s="71">
        <v>108.54</v>
      </c>
    </row>
    <row r="99" spans="2:3">
      <c r="B99" s="69">
        <v>4.9965799999999998E-2</v>
      </c>
      <c r="C99" s="71">
        <v>108.87</v>
      </c>
    </row>
    <row r="100" spans="2:3">
      <c r="B100" s="69">
        <v>3.9972599999999997E-2</v>
      </c>
      <c r="C100" s="71">
        <v>109.23</v>
      </c>
    </row>
    <row r="101" spans="2:3">
      <c r="B101" s="69">
        <v>2.9979499999999999E-2</v>
      </c>
      <c r="C101" s="76">
        <v>109.62</v>
      </c>
    </row>
    <row r="102" spans="2:3">
      <c r="B102" s="69"/>
      <c r="C102" s="76"/>
    </row>
    <row r="103" spans="2:3" ht="16.2" thickBot="1">
      <c r="B103" s="70"/>
      <c r="C103" s="77"/>
    </row>
    <row r="200" spans="2:3">
      <c r="B200" s="68"/>
      <c r="C200" s="68"/>
    </row>
    <row r="201" spans="2:3">
      <c r="B201" s="68"/>
      <c r="C201" s="68"/>
    </row>
    <row r="202" spans="2:3">
      <c r="B202" s="68"/>
      <c r="C202" s="68"/>
    </row>
    <row r="203" spans="2:3">
      <c r="B203" s="68"/>
      <c r="C203" s="68"/>
    </row>
    <row r="204" spans="2:3">
      <c r="B204" s="68"/>
      <c r="C204" s="68"/>
    </row>
    <row r="205" spans="2:3">
      <c r="B205" s="68"/>
      <c r="C205" s="68"/>
    </row>
    <row r="206" spans="2:3">
      <c r="B206" s="68"/>
      <c r="C206" s="68"/>
    </row>
    <row r="207" spans="2:3">
      <c r="B207" s="68"/>
      <c r="C207" s="68"/>
    </row>
    <row r="208" spans="2:3">
      <c r="B208" s="68"/>
      <c r="C208" s="68"/>
    </row>
    <row r="209" spans="2:3">
      <c r="B209" s="68"/>
      <c r="C209" s="68"/>
    </row>
    <row r="210" spans="2:3">
      <c r="B210" s="68"/>
      <c r="C210" s="68"/>
    </row>
    <row r="211" spans="2:3">
      <c r="B211" s="68"/>
      <c r="C211" s="68"/>
    </row>
    <row r="212" spans="2:3">
      <c r="B212" s="68"/>
      <c r="C212" s="68"/>
    </row>
    <row r="213" spans="2:3">
      <c r="B213" s="68"/>
      <c r="C213" s="68"/>
    </row>
    <row r="214" spans="2:3">
      <c r="B214" s="68"/>
      <c r="C214" s="68"/>
    </row>
    <row r="215" spans="2:3">
      <c r="B215" s="68"/>
      <c r="C215" s="68"/>
    </row>
    <row r="216" spans="2:3">
      <c r="B216" s="68"/>
      <c r="C216" s="68"/>
    </row>
    <row r="217" spans="2:3">
      <c r="B217" s="68"/>
      <c r="C217" s="68"/>
    </row>
    <row r="218" spans="2:3">
      <c r="B218" s="68"/>
      <c r="C218" s="68"/>
    </row>
    <row r="219" spans="2:3">
      <c r="B219" s="68"/>
      <c r="C219" s="68"/>
    </row>
    <row r="220" spans="2:3">
      <c r="B220" s="68"/>
      <c r="C220" s="68"/>
    </row>
    <row r="221" spans="2:3">
      <c r="B221" s="68"/>
      <c r="C221" s="68"/>
    </row>
    <row r="222" spans="2:3">
      <c r="B222" s="68"/>
      <c r="C222" s="68"/>
    </row>
    <row r="223" spans="2:3">
      <c r="B223" s="68"/>
      <c r="C223" s="68"/>
    </row>
    <row r="224" spans="2:3">
      <c r="B224" s="68"/>
      <c r="C224" s="68"/>
    </row>
    <row r="225" spans="2:3">
      <c r="B225" s="68"/>
      <c r="C225" s="68"/>
    </row>
    <row r="226" spans="2:3">
      <c r="B226" s="68"/>
      <c r="C226" s="68"/>
    </row>
    <row r="227" spans="2:3">
      <c r="B227" s="68"/>
      <c r="C227" s="68"/>
    </row>
    <row r="228" spans="2:3">
      <c r="B228" s="68"/>
      <c r="C228" s="68"/>
    </row>
    <row r="229" spans="2:3">
      <c r="B229" s="68"/>
      <c r="C229" s="68"/>
    </row>
    <row r="230" spans="2:3">
      <c r="B230" s="68"/>
      <c r="C230" s="68"/>
    </row>
    <row r="231" spans="2:3">
      <c r="B231" s="68"/>
      <c r="C231" s="68"/>
    </row>
    <row r="232" spans="2:3">
      <c r="B232" s="68"/>
      <c r="C232" s="68"/>
    </row>
    <row r="233" spans="2:3">
      <c r="B233" s="68"/>
      <c r="C233" s="68"/>
    </row>
    <row r="234" spans="2:3">
      <c r="B234" s="68"/>
      <c r="C234" s="68"/>
    </row>
    <row r="235" spans="2:3">
      <c r="B235" s="68"/>
      <c r="C235" s="68"/>
    </row>
    <row r="236" spans="2:3">
      <c r="B236" s="68"/>
      <c r="C236" s="68"/>
    </row>
    <row r="237" spans="2:3">
      <c r="B237" s="68"/>
      <c r="C237" s="68"/>
    </row>
    <row r="238" spans="2:3">
      <c r="B238" s="68"/>
      <c r="C238" s="68"/>
    </row>
    <row r="239" spans="2:3">
      <c r="B239" s="68"/>
      <c r="C239" s="68"/>
    </row>
    <row r="240" spans="2:3">
      <c r="B240" s="68"/>
      <c r="C240" s="68"/>
    </row>
    <row r="241" spans="2:3">
      <c r="B241" s="68"/>
      <c r="C241" s="68"/>
    </row>
    <row r="242" spans="2:3">
      <c r="B242" s="68"/>
      <c r="C242" s="68"/>
    </row>
    <row r="243" spans="2:3">
      <c r="B243" s="68"/>
      <c r="C243" s="68"/>
    </row>
    <row r="244" spans="2:3">
      <c r="B244" s="68"/>
      <c r="C244" s="68"/>
    </row>
    <row r="245" spans="2:3">
      <c r="B245" s="68"/>
      <c r="C245" s="68"/>
    </row>
    <row r="246" spans="2:3">
      <c r="B246" s="68"/>
      <c r="C246" s="68"/>
    </row>
    <row r="247" spans="2:3">
      <c r="B247" s="68"/>
      <c r="C247" s="68"/>
    </row>
    <row r="248" spans="2:3">
      <c r="B248" s="68"/>
      <c r="C248" s="68"/>
    </row>
    <row r="249" spans="2:3">
      <c r="B249" s="68"/>
      <c r="C249" s="68"/>
    </row>
    <row r="250" spans="2:3">
      <c r="B250" s="68"/>
      <c r="C250" s="68"/>
    </row>
    <row r="251" spans="2:3">
      <c r="B251" s="68"/>
      <c r="C251" s="68"/>
    </row>
    <row r="252" spans="2:3">
      <c r="B252" s="68"/>
      <c r="C252" s="68"/>
    </row>
    <row r="253" spans="2:3">
      <c r="B253" s="68"/>
      <c r="C253" s="68"/>
    </row>
    <row r="254" spans="2:3">
      <c r="B254" s="68"/>
      <c r="C254" s="68"/>
    </row>
    <row r="255" spans="2:3">
      <c r="B255" s="68"/>
      <c r="C255" s="68"/>
    </row>
    <row r="256" spans="2:3">
      <c r="B256" s="68"/>
      <c r="C256" s="68"/>
    </row>
    <row r="257" spans="2:3">
      <c r="B257" s="68"/>
      <c r="C257" s="68"/>
    </row>
    <row r="258" spans="2:3">
      <c r="B258" s="68"/>
      <c r="C258" s="68"/>
    </row>
    <row r="259" spans="2:3">
      <c r="B259" s="68"/>
      <c r="C259" s="68"/>
    </row>
    <row r="260" spans="2:3">
      <c r="B260" s="68"/>
      <c r="C260" s="68"/>
    </row>
    <row r="261" spans="2:3">
      <c r="B261" s="68"/>
      <c r="C261" s="68"/>
    </row>
    <row r="262" spans="2:3">
      <c r="B262" s="68"/>
      <c r="C262" s="68"/>
    </row>
    <row r="263" spans="2:3">
      <c r="B263" s="68"/>
      <c r="C263" s="68"/>
    </row>
    <row r="264" spans="2:3">
      <c r="B264" s="68"/>
      <c r="C264" s="68"/>
    </row>
    <row r="265" spans="2:3">
      <c r="B265" s="68"/>
      <c r="C265" s="68"/>
    </row>
    <row r="266" spans="2:3">
      <c r="B266" s="68"/>
      <c r="C266" s="68"/>
    </row>
    <row r="267" spans="2:3">
      <c r="B267" s="68"/>
      <c r="C267" s="68"/>
    </row>
    <row r="268" spans="2:3">
      <c r="B268" s="68"/>
      <c r="C268" s="68"/>
    </row>
    <row r="269" spans="2:3">
      <c r="B269" s="68"/>
      <c r="C269" s="68"/>
    </row>
    <row r="270" spans="2:3">
      <c r="B270" s="68"/>
      <c r="C270" s="68"/>
    </row>
    <row r="271" spans="2:3">
      <c r="B271" s="68"/>
      <c r="C271" s="68"/>
    </row>
    <row r="272" spans="2:3">
      <c r="B272" s="68"/>
      <c r="C272" s="68"/>
    </row>
    <row r="273" spans="2:3">
      <c r="B273" s="68"/>
      <c r="C273" s="68"/>
    </row>
    <row r="274" spans="2:3">
      <c r="B274" s="68"/>
      <c r="C274" s="68"/>
    </row>
    <row r="275" spans="2:3">
      <c r="B275" s="68"/>
      <c r="C275" s="68"/>
    </row>
    <row r="276" spans="2:3">
      <c r="B276" s="68"/>
      <c r="C276" s="68"/>
    </row>
    <row r="277" spans="2:3">
      <c r="B277" s="68"/>
      <c r="C277" s="68"/>
    </row>
    <row r="278" spans="2:3">
      <c r="B278" s="68"/>
      <c r="C278" s="68"/>
    </row>
    <row r="279" spans="2:3">
      <c r="B279" s="68"/>
      <c r="C279" s="68"/>
    </row>
    <row r="280" spans="2:3">
      <c r="B280" s="68"/>
      <c r="C280" s="68"/>
    </row>
    <row r="281" spans="2:3">
      <c r="B281" s="68"/>
      <c r="C281" s="68"/>
    </row>
    <row r="282" spans="2:3">
      <c r="B282" s="68"/>
      <c r="C282" s="68"/>
    </row>
    <row r="283" spans="2:3">
      <c r="B283" s="68"/>
      <c r="C283" s="68"/>
    </row>
    <row r="284" spans="2:3">
      <c r="B284" s="68"/>
      <c r="C284" s="68"/>
    </row>
    <row r="285" spans="2:3">
      <c r="B285" s="68"/>
      <c r="C285" s="68"/>
    </row>
    <row r="286" spans="2:3">
      <c r="B286" s="68"/>
      <c r="C286" s="68"/>
    </row>
    <row r="287" spans="2:3">
      <c r="B287" s="68"/>
      <c r="C287" s="68"/>
    </row>
    <row r="288" spans="2:3">
      <c r="B288" s="68"/>
      <c r="C288" s="68"/>
    </row>
    <row r="289" spans="2:3">
      <c r="B289" s="68"/>
      <c r="C289" s="68"/>
    </row>
    <row r="290" spans="2:3">
      <c r="B290" s="68"/>
      <c r="C290" s="68"/>
    </row>
    <row r="291" spans="2:3">
      <c r="B291" s="68"/>
      <c r="C291" s="68"/>
    </row>
    <row r="292" spans="2:3">
      <c r="B292" s="68"/>
      <c r="C292" s="68"/>
    </row>
    <row r="293" spans="2:3">
      <c r="B293" s="68"/>
      <c r="C293" s="68"/>
    </row>
    <row r="294" spans="2:3">
      <c r="B294" s="68"/>
      <c r="C294" s="68"/>
    </row>
    <row r="295" spans="2:3">
      <c r="B295" s="68"/>
      <c r="C295" s="68"/>
    </row>
    <row r="296" spans="2:3">
      <c r="B296" s="68"/>
      <c r="C296" s="68"/>
    </row>
    <row r="297" spans="2:3">
      <c r="B297" s="68"/>
      <c r="C297" s="68"/>
    </row>
    <row r="298" spans="2:3">
      <c r="B298" s="68"/>
      <c r="C298" s="68"/>
    </row>
    <row r="299" spans="2:3">
      <c r="B299" s="68"/>
      <c r="C299" s="68"/>
    </row>
    <row r="300" spans="2:3">
      <c r="B300" s="68"/>
      <c r="C300" s="68"/>
    </row>
    <row r="301" spans="2:3">
      <c r="B301" s="68"/>
      <c r="C301" s="68"/>
    </row>
    <row r="302" spans="2:3">
      <c r="B302" s="68"/>
      <c r="C302" s="68"/>
    </row>
    <row r="303" spans="2:3">
      <c r="B303" s="68"/>
      <c r="C303" s="68"/>
    </row>
    <row r="304" spans="2:3">
      <c r="B304" s="68"/>
      <c r="C304" s="68"/>
    </row>
    <row r="305" spans="2:3">
      <c r="B305" s="68"/>
      <c r="C305" s="68"/>
    </row>
    <row r="306" spans="2:3">
      <c r="B306" s="68"/>
      <c r="C306" s="68"/>
    </row>
    <row r="307" spans="2:3">
      <c r="B307" s="68"/>
      <c r="C307" s="68"/>
    </row>
    <row r="308" spans="2:3">
      <c r="B308" s="68"/>
      <c r="C308" s="68"/>
    </row>
    <row r="309" spans="2:3">
      <c r="B309" s="68"/>
      <c r="C309" s="68"/>
    </row>
    <row r="310" spans="2:3">
      <c r="B310" s="68"/>
      <c r="C310" s="68"/>
    </row>
    <row r="311" spans="2:3">
      <c r="B311" s="68"/>
      <c r="C311" s="68"/>
    </row>
    <row r="312" spans="2:3">
      <c r="B312" s="68"/>
      <c r="C312" s="68"/>
    </row>
    <row r="313" spans="2:3">
      <c r="B313" s="68"/>
      <c r="C313" s="68"/>
    </row>
    <row r="314" spans="2:3">
      <c r="B314" s="68"/>
      <c r="C314" s="68"/>
    </row>
    <row r="315" spans="2:3">
      <c r="B315" s="68"/>
      <c r="C315" s="68"/>
    </row>
    <row r="316" spans="2:3">
      <c r="B316" s="68"/>
      <c r="C316" s="68"/>
    </row>
    <row r="317" spans="2:3">
      <c r="B317" s="68"/>
      <c r="C317" s="68"/>
    </row>
    <row r="318" spans="2:3">
      <c r="B318" s="68"/>
      <c r="C318" s="68"/>
    </row>
    <row r="319" spans="2:3">
      <c r="B319" s="68"/>
      <c r="C319" s="68"/>
    </row>
    <row r="320" spans="2:3">
      <c r="B320" s="68"/>
      <c r="C320" s="68"/>
    </row>
    <row r="321" spans="2:3">
      <c r="B321" s="68"/>
      <c r="C321" s="68"/>
    </row>
    <row r="322" spans="2:3">
      <c r="B322" s="68"/>
      <c r="C322" s="68"/>
    </row>
    <row r="323" spans="2:3">
      <c r="B323" s="68"/>
      <c r="C323" s="68"/>
    </row>
    <row r="324" spans="2:3">
      <c r="B324" s="68"/>
      <c r="C324" s="68"/>
    </row>
    <row r="325" spans="2:3">
      <c r="B325" s="68"/>
      <c r="C325" s="68"/>
    </row>
    <row r="326" spans="2:3">
      <c r="B326" s="68"/>
      <c r="C326" s="68"/>
    </row>
    <row r="327" spans="2:3">
      <c r="B327" s="68"/>
      <c r="C327" s="68"/>
    </row>
    <row r="328" spans="2:3">
      <c r="B328" s="68"/>
      <c r="C328" s="68"/>
    </row>
    <row r="329" spans="2:3">
      <c r="B329" s="68"/>
      <c r="C329" s="68"/>
    </row>
    <row r="330" spans="2:3">
      <c r="B330" s="68"/>
      <c r="C330" s="68"/>
    </row>
    <row r="331" spans="2:3">
      <c r="B331" s="68"/>
      <c r="C331" s="68"/>
    </row>
    <row r="332" spans="2:3">
      <c r="B332" s="68"/>
      <c r="C332" s="68"/>
    </row>
    <row r="333" spans="2:3">
      <c r="B333" s="68"/>
      <c r="C333" s="68"/>
    </row>
    <row r="334" spans="2:3">
      <c r="B334" s="68"/>
      <c r="C334" s="68"/>
    </row>
    <row r="335" spans="2:3">
      <c r="B335" s="68"/>
      <c r="C335" s="68"/>
    </row>
    <row r="336" spans="2:3">
      <c r="B336" s="68"/>
      <c r="C336" s="68"/>
    </row>
    <row r="337" spans="2:3">
      <c r="B337" s="68"/>
      <c r="C337" s="68"/>
    </row>
    <row r="338" spans="2:3">
      <c r="B338" s="68"/>
      <c r="C338" s="68"/>
    </row>
    <row r="339" spans="2:3">
      <c r="B339" s="68"/>
      <c r="C339" s="68"/>
    </row>
    <row r="340" spans="2:3">
      <c r="B340" s="68"/>
      <c r="C340" s="68"/>
    </row>
    <row r="341" spans="2:3">
      <c r="B341" s="68"/>
      <c r="C341" s="68"/>
    </row>
    <row r="342" spans="2:3">
      <c r="B342" s="68"/>
      <c r="C342" s="68"/>
    </row>
    <row r="343" spans="2:3">
      <c r="B343" s="68"/>
      <c r="C343" s="68"/>
    </row>
    <row r="344" spans="2:3">
      <c r="B344" s="68"/>
      <c r="C344" s="68"/>
    </row>
    <row r="345" spans="2:3">
      <c r="B345" s="68"/>
      <c r="C345" s="68"/>
    </row>
    <row r="346" spans="2:3">
      <c r="B346" s="68"/>
      <c r="C346" s="68"/>
    </row>
    <row r="347" spans="2:3">
      <c r="B347" s="68"/>
      <c r="C347" s="68"/>
    </row>
    <row r="348" spans="2:3">
      <c r="B348" s="68"/>
      <c r="C348" s="68"/>
    </row>
    <row r="349" spans="2:3">
      <c r="B349" s="68"/>
      <c r="C349" s="68"/>
    </row>
    <row r="350" spans="2:3">
      <c r="B350" s="68"/>
      <c r="C350" s="68"/>
    </row>
    <row r="351" spans="2:3">
      <c r="B351" s="68"/>
      <c r="C351" s="68"/>
    </row>
    <row r="352" spans="2:3">
      <c r="B352" s="68"/>
      <c r="C352" s="68"/>
    </row>
    <row r="353" spans="2:3">
      <c r="B353" s="68"/>
      <c r="C353" s="68"/>
    </row>
    <row r="354" spans="2:3">
      <c r="B354" s="68"/>
      <c r="C354" s="68"/>
    </row>
    <row r="355" spans="2:3">
      <c r="B355" s="68"/>
      <c r="C355" s="68"/>
    </row>
    <row r="356" spans="2:3">
      <c r="B356" s="68"/>
      <c r="C356" s="68"/>
    </row>
    <row r="357" spans="2:3">
      <c r="B357" s="68"/>
      <c r="C357" s="68"/>
    </row>
    <row r="358" spans="2:3">
      <c r="B358" s="68"/>
      <c r="C358" s="68"/>
    </row>
    <row r="359" spans="2:3">
      <c r="B359" s="68"/>
      <c r="C359" s="68"/>
    </row>
    <row r="360" spans="2:3">
      <c r="B360" s="68"/>
      <c r="C360" s="68"/>
    </row>
    <row r="361" spans="2:3">
      <c r="B361" s="68"/>
      <c r="C361" s="68"/>
    </row>
    <row r="362" spans="2:3">
      <c r="B362" s="68"/>
      <c r="C362" s="68"/>
    </row>
    <row r="363" spans="2:3">
      <c r="B363" s="68"/>
      <c r="C363" s="68"/>
    </row>
    <row r="364" spans="2:3">
      <c r="B364" s="68"/>
      <c r="C364" s="68"/>
    </row>
    <row r="365" spans="2:3">
      <c r="B365" s="68"/>
      <c r="C365" s="68"/>
    </row>
    <row r="366" spans="2:3">
      <c r="B366" s="68"/>
      <c r="C366" s="68"/>
    </row>
    <row r="367" spans="2:3">
      <c r="B367" s="68"/>
      <c r="C367" s="68"/>
    </row>
    <row r="368" spans="2:3">
      <c r="B368" s="68"/>
      <c r="C368" s="68"/>
    </row>
    <row r="369" spans="2:3">
      <c r="B369" s="68"/>
      <c r="C369" s="68"/>
    </row>
    <row r="370" spans="2:3">
      <c r="B370" s="68"/>
      <c r="C370" s="68"/>
    </row>
    <row r="371" spans="2:3">
      <c r="B371" s="68"/>
      <c r="C371" s="68"/>
    </row>
    <row r="372" spans="2:3">
      <c r="B372" s="68"/>
      <c r="C372" s="68"/>
    </row>
    <row r="373" spans="2:3">
      <c r="B373" s="68"/>
      <c r="C373" s="68"/>
    </row>
    <row r="374" spans="2:3">
      <c r="B374" s="68"/>
      <c r="C374" s="68"/>
    </row>
    <row r="375" spans="2:3">
      <c r="B375" s="68"/>
      <c r="C375" s="68"/>
    </row>
    <row r="376" spans="2:3">
      <c r="B376" s="68"/>
      <c r="C376" s="68"/>
    </row>
    <row r="377" spans="2:3">
      <c r="B377" s="68"/>
      <c r="C377" s="68"/>
    </row>
    <row r="378" spans="2:3">
      <c r="B378" s="68"/>
      <c r="C378" s="68"/>
    </row>
    <row r="379" spans="2:3">
      <c r="B379" s="68"/>
      <c r="C379" s="68"/>
    </row>
    <row r="380" spans="2:3">
      <c r="B380" s="68"/>
      <c r="C380" s="68"/>
    </row>
    <row r="381" spans="2:3">
      <c r="B381" s="68"/>
      <c r="C381" s="68"/>
    </row>
    <row r="382" spans="2:3">
      <c r="B382" s="68"/>
      <c r="C382" s="68"/>
    </row>
    <row r="383" spans="2:3">
      <c r="B383" s="68"/>
      <c r="C383" s="68"/>
    </row>
    <row r="384" spans="2:3">
      <c r="B384" s="68"/>
      <c r="C384" s="68"/>
    </row>
    <row r="385" spans="2:3">
      <c r="B385" s="68"/>
      <c r="C385" s="68"/>
    </row>
    <row r="386" spans="2:3">
      <c r="B386" s="68"/>
      <c r="C386" s="68"/>
    </row>
    <row r="387" spans="2:3">
      <c r="B387" s="68"/>
      <c r="C387" s="68"/>
    </row>
    <row r="388" spans="2:3">
      <c r="B388" s="68"/>
      <c r="C388" s="68"/>
    </row>
    <row r="389" spans="2:3">
      <c r="B389" s="68"/>
      <c r="C389" s="68"/>
    </row>
    <row r="390" spans="2:3">
      <c r="B390" s="68"/>
      <c r="C390" s="68"/>
    </row>
    <row r="391" spans="2:3">
      <c r="B391" s="68"/>
      <c r="C391" s="68"/>
    </row>
    <row r="392" spans="2:3">
      <c r="B392" s="68"/>
      <c r="C392" s="68"/>
    </row>
    <row r="393" spans="2:3">
      <c r="B393" s="68"/>
      <c r="C393" s="68"/>
    </row>
    <row r="394" spans="2:3">
      <c r="B394" s="68"/>
      <c r="C394" s="68"/>
    </row>
    <row r="395" spans="2:3">
      <c r="B395" s="68"/>
      <c r="C395" s="68"/>
    </row>
    <row r="396" spans="2:3">
      <c r="B396" s="68"/>
      <c r="C396" s="68"/>
    </row>
    <row r="397" spans="2:3">
      <c r="B397" s="68"/>
      <c r="C397" s="68"/>
    </row>
    <row r="398" spans="2:3">
      <c r="B398" s="68"/>
      <c r="C398" s="68"/>
    </row>
    <row r="399" spans="2:3">
      <c r="B399" s="68"/>
      <c r="C399" s="68"/>
    </row>
    <row r="400" spans="2:3">
      <c r="B400" s="68"/>
      <c r="C400" s="68"/>
    </row>
    <row r="401" spans="2:3">
      <c r="B401" s="68"/>
      <c r="C401" s="68"/>
    </row>
    <row r="402" spans="2:3">
      <c r="B402" s="68"/>
      <c r="C402" s="68"/>
    </row>
    <row r="403" spans="2:3">
      <c r="B403" s="68"/>
      <c r="C403" s="68"/>
    </row>
    <row r="404" spans="2:3">
      <c r="B404" s="68"/>
      <c r="C404" s="68"/>
    </row>
    <row r="405" spans="2:3">
      <c r="B405" s="68"/>
      <c r="C405" s="68"/>
    </row>
    <row r="406" spans="2:3">
      <c r="B406" s="68"/>
      <c r="C406" s="68"/>
    </row>
    <row r="407" spans="2:3">
      <c r="B407" s="68"/>
      <c r="C407" s="68"/>
    </row>
    <row r="408" spans="2:3">
      <c r="B408" s="68"/>
      <c r="C408" s="68"/>
    </row>
    <row r="409" spans="2:3">
      <c r="B409" s="68"/>
      <c r="C409" s="68"/>
    </row>
    <row r="410" spans="2:3">
      <c r="B410" s="68"/>
      <c r="C410" s="68"/>
    </row>
    <row r="411" spans="2:3">
      <c r="B411" s="68"/>
      <c r="C411" s="68"/>
    </row>
    <row r="412" spans="2:3">
      <c r="B412" s="68"/>
      <c r="C412" s="68"/>
    </row>
    <row r="413" spans="2:3">
      <c r="B413" s="68"/>
      <c r="C413" s="68"/>
    </row>
    <row r="414" spans="2:3">
      <c r="B414" s="68"/>
      <c r="C414" s="68"/>
    </row>
    <row r="415" spans="2:3">
      <c r="B415" s="68"/>
      <c r="C415" s="68"/>
    </row>
    <row r="416" spans="2:3">
      <c r="B416" s="68"/>
      <c r="C416" s="68"/>
    </row>
    <row r="417" spans="2:3">
      <c r="B417" s="68"/>
      <c r="C417" s="68"/>
    </row>
    <row r="418" spans="2:3">
      <c r="B418" s="68"/>
      <c r="C418" s="68"/>
    </row>
    <row r="419" spans="2:3">
      <c r="B419" s="68"/>
      <c r="C419" s="68"/>
    </row>
    <row r="420" spans="2:3">
      <c r="B420" s="68"/>
      <c r="C420" s="68"/>
    </row>
    <row r="421" spans="2:3">
      <c r="B421" s="68"/>
      <c r="C421" s="68"/>
    </row>
    <row r="422" spans="2:3">
      <c r="B422" s="68"/>
      <c r="C422" s="68"/>
    </row>
    <row r="423" spans="2:3">
      <c r="B423" s="68"/>
      <c r="C423" s="68"/>
    </row>
    <row r="424" spans="2:3">
      <c r="B424" s="68"/>
      <c r="C424" s="68"/>
    </row>
    <row r="425" spans="2:3">
      <c r="B425" s="68"/>
      <c r="C425" s="68"/>
    </row>
    <row r="426" spans="2:3">
      <c r="B426" s="68"/>
      <c r="C426" s="68"/>
    </row>
    <row r="427" spans="2:3">
      <c r="B427" s="68"/>
      <c r="C427" s="68"/>
    </row>
    <row r="428" spans="2:3">
      <c r="B428" s="68"/>
      <c r="C428" s="68"/>
    </row>
    <row r="429" spans="2:3">
      <c r="B429" s="68"/>
      <c r="C429" s="68"/>
    </row>
    <row r="430" spans="2:3">
      <c r="B430" s="68"/>
      <c r="C430" s="68"/>
    </row>
    <row r="431" spans="2:3">
      <c r="B431" s="68"/>
      <c r="C431" s="68"/>
    </row>
    <row r="432" spans="2:3">
      <c r="B432" s="68"/>
      <c r="C432" s="68"/>
    </row>
    <row r="433" spans="2:3">
      <c r="B433" s="68"/>
      <c r="C433" s="68"/>
    </row>
    <row r="434" spans="2:3">
      <c r="B434" s="68"/>
      <c r="C434" s="68"/>
    </row>
    <row r="435" spans="2:3">
      <c r="B435" s="68"/>
      <c r="C435" s="68"/>
    </row>
    <row r="436" spans="2:3">
      <c r="B436" s="68"/>
      <c r="C436" s="68"/>
    </row>
    <row r="437" spans="2:3">
      <c r="B437" s="68"/>
      <c r="C437" s="68"/>
    </row>
    <row r="438" spans="2:3">
      <c r="B438" s="68"/>
      <c r="C438" s="68"/>
    </row>
    <row r="439" spans="2:3">
      <c r="B439" s="68"/>
      <c r="C439" s="68"/>
    </row>
    <row r="440" spans="2:3">
      <c r="B440" s="68"/>
      <c r="C440" s="68"/>
    </row>
    <row r="441" spans="2:3">
      <c r="B441" s="68"/>
      <c r="C441" s="68"/>
    </row>
    <row r="442" spans="2:3">
      <c r="B442" s="68"/>
      <c r="C442" s="68"/>
    </row>
    <row r="443" spans="2:3">
      <c r="B443" s="68"/>
      <c r="C443" s="68"/>
    </row>
    <row r="444" spans="2:3">
      <c r="B444" s="68"/>
      <c r="C444" s="68"/>
    </row>
    <row r="445" spans="2:3">
      <c r="B445" s="68"/>
      <c r="C445" s="68"/>
    </row>
    <row r="446" spans="2:3">
      <c r="B446" s="68"/>
      <c r="C446" s="68"/>
    </row>
    <row r="447" spans="2:3">
      <c r="B447" s="68"/>
      <c r="C447" s="68"/>
    </row>
    <row r="448" spans="2:3">
      <c r="B448" s="68"/>
      <c r="C448" s="68"/>
    </row>
    <row r="449" spans="2:3">
      <c r="B449" s="68"/>
      <c r="C449" s="68"/>
    </row>
    <row r="450" spans="2:3">
      <c r="B450" s="68"/>
      <c r="C450" s="68"/>
    </row>
    <row r="451" spans="2:3">
      <c r="B451" s="68"/>
      <c r="C451" s="68"/>
    </row>
    <row r="452" spans="2:3">
      <c r="B452" s="68"/>
      <c r="C452" s="68"/>
    </row>
    <row r="453" spans="2:3">
      <c r="B453" s="68"/>
      <c r="C453" s="68"/>
    </row>
    <row r="454" spans="2:3">
      <c r="B454" s="68"/>
      <c r="C454" s="68"/>
    </row>
    <row r="455" spans="2:3">
      <c r="B455" s="68"/>
      <c r="C455" s="68"/>
    </row>
    <row r="456" spans="2:3">
      <c r="B456" s="68"/>
      <c r="C456" s="68"/>
    </row>
    <row r="457" spans="2:3">
      <c r="B457" s="68"/>
      <c r="C457" s="68"/>
    </row>
    <row r="458" spans="2:3">
      <c r="B458" s="68"/>
      <c r="C458" s="68"/>
    </row>
    <row r="459" spans="2:3">
      <c r="B459" s="68"/>
      <c r="C459" s="68"/>
    </row>
    <row r="460" spans="2:3">
      <c r="B460" s="68"/>
      <c r="C460" s="68"/>
    </row>
    <row r="461" spans="2:3">
      <c r="B461" s="68"/>
      <c r="C461" s="68"/>
    </row>
    <row r="462" spans="2:3">
      <c r="B462" s="68"/>
      <c r="C462" s="68"/>
    </row>
    <row r="463" spans="2:3">
      <c r="B463" s="68"/>
      <c r="C463" s="68"/>
    </row>
    <row r="464" spans="2:3">
      <c r="B464" s="68"/>
      <c r="C464" s="68"/>
    </row>
    <row r="465" spans="2:3">
      <c r="B465" s="68"/>
      <c r="C465" s="68"/>
    </row>
    <row r="466" spans="2:3">
      <c r="B466" s="68"/>
      <c r="C466" s="68"/>
    </row>
    <row r="467" spans="2:3">
      <c r="B467" s="68"/>
      <c r="C467" s="68"/>
    </row>
    <row r="468" spans="2:3">
      <c r="B468" s="68"/>
      <c r="C468" s="68"/>
    </row>
    <row r="469" spans="2:3">
      <c r="B469" s="68"/>
      <c r="C469" s="68"/>
    </row>
    <row r="470" spans="2:3">
      <c r="B470" s="68"/>
      <c r="C470" s="68"/>
    </row>
    <row r="471" spans="2:3">
      <c r="B471" s="68"/>
      <c r="C471" s="68"/>
    </row>
    <row r="472" spans="2:3">
      <c r="B472" s="68"/>
      <c r="C472" s="68"/>
    </row>
    <row r="473" spans="2:3">
      <c r="B473" s="68"/>
      <c r="C473" s="68"/>
    </row>
    <row r="474" spans="2:3">
      <c r="B474" s="68"/>
      <c r="C474" s="68"/>
    </row>
    <row r="475" spans="2:3">
      <c r="B475" s="68"/>
      <c r="C475" s="68"/>
    </row>
    <row r="476" spans="2:3">
      <c r="B476" s="68"/>
      <c r="C476" s="68"/>
    </row>
    <row r="477" spans="2:3">
      <c r="B477" s="68"/>
      <c r="C477" s="68"/>
    </row>
    <row r="478" spans="2:3">
      <c r="B478" s="68"/>
      <c r="C478" s="68"/>
    </row>
    <row r="479" spans="2:3">
      <c r="B479" s="68"/>
      <c r="C479" s="68"/>
    </row>
    <row r="480" spans="2:3">
      <c r="B480" s="68"/>
      <c r="C480" s="68"/>
    </row>
    <row r="481" spans="2:3">
      <c r="B481" s="68"/>
      <c r="C481" s="68"/>
    </row>
    <row r="482" spans="2:3">
      <c r="B482" s="68"/>
      <c r="C482" s="68"/>
    </row>
    <row r="483" spans="2:3">
      <c r="B483" s="68"/>
      <c r="C483" s="68"/>
    </row>
    <row r="484" spans="2:3">
      <c r="B484" s="68"/>
      <c r="C484" s="68"/>
    </row>
    <row r="485" spans="2:3">
      <c r="B485" s="68"/>
      <c r="C485" s="68"/>
    </row>
    <row r="486" spans="2:3">
      <c r="B486" s="68"/>
      <c r="C486" s="68"/>
    </row>
    <row r="487" spans="2:3">
      <c r="B487" s="68"/>
      <c r="C487" s="68"/>
    </row>
    <row r="488" spans="2:3">
      <c r="B488" s="68"/>
      <c r="C488" s="68"/>
    </row>
    <row r="489" spans="2:3">
      <c r="B489" s="68"/>
      <c r="C489" s="68"/>
    </row>
    <row r="490" spans="2:3">
      <c r="B490" s="68"/>
      <c r="C490" s="68"/>
    </row>
    <row r="491" spans="2:3">
      <c r="B491" s="68"/>
      <c r="C491" s="68"/>
    </row>
    <row r="492" spans="2:3">
      <c r="B492" s="68"/>
      <c r="C492" s="68"/>
    </row>
    <row r="493" spans="2:3">
      <c r="B493" s="68"/>
      <c r="C493" s="68"/>
    </row>
    <row r="494" spans="2:3">
      <c r="B494" s="68"/>
      <c r="C494" s="68"/>
    </row>
    <row r="495" spans="2:3">
      <c r="B495" s="68"/>
      <c r="C495" s="68"/>
    </row>
    <row r="496" spans="2:3">
      <c r="B496" s="68"/>
      <c r="C496" s="68"/>
    </row>
    <row r="497" spans="2:3">
      <c r="B497" s="68"/>
      <c r="C497" s="68"/>
    </row>
    <row r="498" spans="2:3">
      <c r="B498" s="68"/>
      <c r="C498" s="68"/>
    </row>
    <row r="499" spans="2:3">
      <c r="B499" s="68"/>
      <c r="C499" s="68"/>
    </row>
    <row r="500" spans="2:3">
      <c r="B500" s="68"/>
      <c r="C500" s="68"/>
    </row>
    <row r="501" spans="2:3">
      <c r="B501" s="68"/>
      <c r="C501" s="68"/>
    </row>
    <row r="502" spans="2:3">
      <c r="B502" s="68"/>
      <c r="C502" s="68"/>
    </row>
    <row r="503" spans="2:3">
      <c r="B503" s="68"/>
      <c r="C503" s="68"/>
    </row>
    <row r="504" spans="2:3">
      <c r="B504" s="68"/>
      <c r="C504" s="68"/>
    </row>
    <row r="505" spans="2:3">
      <c r="B505" s="68"/>
      <c r="C505" s="68"/>
    </row>
    <row r="506" spans="2:3">
      <c r="B506" s="68"/>
      <c r="C506" s="68"/>
    </row>
    <row r="507" spans="2:3">
      <c r="B507" s="68"/>
      <c r="C507" s="68"/>
    </row>
    <row r="508" spans="2:3">
      <c r="B508" s="68"/>
      <c r="C508" s="68"/>
    </row>
    <row r="509" spans="2:3">
      <c r="B509" s="68"/>
      <c r="C509" s="68"/>
    </row>
    <row r="510" spans="2:3">
      <c r="B510" s="68"/>
      <c r="C510" s="68"/>
    </row>
    <row r="511" spans="2:3">
      <c r="B511" s="68"/>
      <c r="C511" s="68"/>
    </row>
    <row r="512" spans="2:3">
      <c r="B512" s="68"/>
      <c r="C512" s="68"/>
    </row>
    <row r="513" spans="2:3">
      <c r="B513" s="68"/>
      <c r="C513" s="68"/>
    </row>
    <row r="514" spans="2:3">
      <c r="B514" s="68"/>
      <c r="C514" s="68"/>
    </row>
    <row r="515" spans="2:3">
      <c r="B515" s="68"/>
      <c r="C515" s="68"/>
    </row>
    <row r="516" spans="2:3">
      <c r="B516" s="68"/>
      <c r="C516" s="68"/>
    </row>
    <row r="517" spans="2:3">
      <c r="B517" s="68"/>
      <c r="C517" s="68"/>
    </row>
    <row r="518" spans="2:3">
      <c r="B518" s="68"/>
      <c r="C518" s="68"/>
    </row>
    <row r="519" spans="2:3">
      <c r="B519" s="68"/>
      <c r="C519" s="68"/>
    </row>
    <row r="520" spans="2:3">
      <c r="B520" s="68"/>
      <c r="C520" s="68"/>
    </row>
    <row r="521" spans="2:3">
      <c r="B521" s="68"/>
      <c r="C521" s="68"/>
    </row>
    <row r="522" spans="2:3">
      <c r="B522" s="68"/>
      <c r="C522" s="68"/>
    </row>
    <row r="523" spans="2:3">
      <c r="B523" s="68"/>
      <c r="C523" s="68"/>
    </row>
    <row r="524" spans="2:3">
      <c r="B524" s="68"/>
      <c r="C524" s="68"/>
    </row>
    <row r="525" spans="2:3">
      <c r="B525" s="68"/>
      <c r="C525" s="68"/>
    </row>
    <row r="526" spans="2:3">
      <c r="B526" s="68"/>
      <c r="C526" s="68"/>
    </row>
    <row r="527" spans="2:3">
      <c r="B527" s="68"/>
      <c r="C527" s="68"/>
    </row>
    <row r="528" spans="2:3">
      <c r="B528" s="68"/>
      <c r="C528" s="68"/>
    </row>
    <row r="529" spans="2:3">
      <c r="B529" s="68"/>
      <c r="C529" s="68"/>
    </row>
    <row r="530" spans="2:3">
      <c r="B530" s="68"/>
      <c r="C530" s="68"/>
    </row>
    <row r="531" spans="2:3">
      <c r="B531" s="68"/>
      <c r="C531" s="68"/>
    </row>
    <row r="532" spans="2:3">
      <c r="B532" s="68"/>
      <c r="C532" s="68"/>
    </row>
    <row r="533" spans="2:3">
      <c r="B533" s="68"/>
      <c r="C533" s="68"/>
    </row>
    <row r="534" spans="2:3">
      <c r="B534" s="68"/>
      <c r="C534" s="68"/>
    </row>
    <row r="535" spans="2:3">
      <c r="B535" s="68"/>
      <c r="C535" s="68"/>
    </row>
    <row r="536" spans="2:3">
      <c r="B536" s="68"/>
      <c r="C536" s="68"/>
    </row>
    <row r="537" spans="2:3">
      <c r="B537" s="68"/>
      <c r="C537" s="68"/>
    </row>
    <row r="538" spans="2:3">
      <c r="B538" s="68"/>
      <c r="C538" s="68"/>
    </row>
    <row r="539" spans="2:3">
      <c r="B539" s="68"/>
      <c r="C539" s="68"/>
    </row>
    <row r="540" spans="2:3">
      <c r="B540" s="68"/>
      <c r="C540" s="68"/>
    </row>
    <row r="541" spans="2:3">
      <c r="B541" s="68"/>
      <c r="C541" s="68"/>
    </row>
    <row r="542" spans="2:3">
      <c r="B542" s="68"/>
      <c r="C542" s="68"/>
    </row>
    <row r="543" spans="2:3">
      <c r="B543" s="68"/>
      <c r="C543" s="68"/>
    </row>
    <row r="544" spans="2:3">
      <c r="B544" s="68"/>
      <c r="C544" s="68"/>
    </row>
    <row r="545" spans="2:3">
      <c r="B545" s="68"/>
      <c r="C545" s="68"/>
    </row>
    <row r="546" spans="2:3">
      <c r="B546" s="68"/>
      <c r="C546" s="68"/>
    </row>
    <row r="547" spans="2:3">
      <c r="B547" s="68"/>
      <c r="C547" s="68"/>
    </row>
    <row r="548" spans="2:3">
      <c r="B548" s="68"/>
      <c r="C548" s="68"/>
    </row>
    <row r="549" spans="2:3">
      <c r="B549" s="68"/>
      <c r="C549" s="68"/>
    </row>
    <row r="550" spans="2:3">
      <c r="B550" s="68"/>
      <c r="C550" s="68"/>
    </row>
    <row r="551" spans="2:3">
      <c r="B551" s="68"/>
      <c r="C551" s="68"/>
    </row>
    <row r="552" spans="2:3">
      <c r="B552" s="68"/>
      <c r="C552" s="68"/>
    </row>
    <row r="553" spans="2:3">
      <c r="B553" s="68"/>
      <c r="C553" s="68"/>
    </row>
    <row r="554" spans="2:3">
      <c r="B554" s="68"/>
      <c r="C554" s="68"/>
    </row>
    <row r="555" spans="2:3">
      <c r="B555" s="68"/>
      <c r="C555" s="68"/>
    </row>
    <row r="556" spans="2:3">
      <c r="B556" s="68"/>
      <c r="C556" s="68"/>
    </row>
    <row r="557" spans="2:3">
      <c r="B557" s="68"/>
      <c r="C557" s="68"/>
    </row>
    <row r="558" spans="2:3">
      <c r="B558" s="68"/>
      <c r="C558" s="68"/>
    </row>
    <row r="559" spans="2:3">
      <c r="B559" s="68"/>
      <c r="C559" s="68"/>
    </row>
    <row r="560" spans="2:3">
      <c r="B560" s="68"/>
      <c r="C560" s="68"/>
    </row>
    <row r="561" spans="2:3">
      <c r="B561" s="68"/>
      <c r="C561" s="68"/>
    </row>
    <row r="562" spans="2:3">
      <c r="B562" s="68"/>
      <c r="C562" s="68"/>
    </row>
    <row r="563" spans="2:3">
      <c r="B563" s="68"/>
      <c r="C563" s="68"/>
    </row>
    <row r="564" spans="2:3">
      <c r="B564" s="68"/>
      <c r="C564" s="68"/>
    </row>
    <row r="565" spans="2:3">
      <c r="B565" s="68"/>
      <c r="C565" s="68"/>
    </row>
    <row r="566" spans="2:3">
      <c r="B566" s="68"/>
      <c r="C566" s="68"/>
    </row>
    <row r="567" spans="2:3">
      <c r="B567" s="68"/>
      <c r="C567" s="68"/>
    </row>
    <row r="568" spans="2:3">
      <c r="B568" s="68"/>
      <c r="C568" s="68"/>
    </row>
    <row r="569" spans="2:3">
      <c r="B569" s="68"/>
      <c r="C569" s="68"/>
    </row>
    <row r="570" spans="2:3">
      <c r="B570" s="68"/>
      <c r="C570" s="68"/>
    </row>
    <row r="571" spans="2:3">
      <c r="B571" s="68"/>
      <c r="C571" s="68"/>
    </row>
    <row r="572" spans="2:3">
      <c r="B572" s="68"/>
      <c r="C572" s="68"/>
    </row>
    <row r="573" spans="2:3">
      <c r="B573" s="68"/>
      <c r="C573" s="68"/>
    </row>
    <row r="574" spans="2:3">
      <c r="B574" s="68"/>
      <c r="C574" s="68"/>
    </row>
    <row r="575" spans="2:3">
      <c r="B575" s="68"/>
      <c r="C575" s="68"/>
    </row>
    <row r="576" spans="2:3">
      <c r="B576" s="68"/>
      <c r="C576" s="68"/>
    </row>
    <row r="577" spans="2:3">
      <c r="B577" s="68"/>
      <c r="C577" s="68"/>
    </row>
    <row r="578" spans="2:3">
      <c r="B578" s="68"/>
      <c r="C578" s="68"/>
    </row>
    <row r="579" spans="2:3">
      <c r="B579" s="68"/>
      <c r="C579" s="68"/>
    </row>
    <row r="580" spans="2:3">
      <c r="B580" s="68"/>
      <c r="C580" s="68"/>
    </row>
    <row r="581" spans="2:3">
      <c r="B581" s="68"/>
      <c r="C581" s="68"/>
    </row>
    <row r="582" spans="2:3">
      <c r="B582" s="68"/>
      <c r="C582" s="68"/>
    </row>
    <row r="583" spans="2:3">
      <c r="B583" s="68"/>
      <c r="C583" s="68"/>
    </row>
    <row r="584" spans="2:3">
      <c r="B584" s="68"/>
      <c r="C584" s="68"/>
    </row>
    <row r="585" spans="2:3">
      <c r="B585" s="68"/>
      <c r="C585" s="68"/>
    </row>
    <row r="586" spans="2:3">
      <c r="B586" s="68"/>
      <c r="C586" s="68"/>
    </row>
    <row r="587" spans="2:3">
      <c r="B587" s="68"/>
      <c r="C587" s="68"/>
    </row>
    <row r="588" spans="2:3">
      <c r="B588" s="68"/>
      <c r="C588" s="68"/>
    </row>
    <row r="589" spans="2:3">
      <c r="B589" s="68"/>
      <c r="C589" s="68"/>
    </row>
    <row r="590" spans="2:3">
      <c r="B590" s="68"/>
      <c r="C590" s="68"/>
    </row>
    <row r="591" spans="2:3">
      <c r="B591" s="68"/>
      <c r="C591" s="68"/>
    </row>
    <row r="592" spans="2:3">
      <c r="B592" s="68"/>
      <c r="C592" s="68"/>
    </row>
    <row r="593" spans="2:3">
      <c r="B593" s="68"/>
      <c r="C593" s="68"/>
    </row>
    <row r="594" spans="2:3">
      <c r="B594" s="68"/>
      <c r="C594" s="68"/>
    </row>
    <row r="595" spans="2:3">
      <c r="B595" s="68"/>
      <c r="C595" s="68"/>
    </row>
    <row r="596" spans="2:3">
      <c r="B596" s="68"/>
      <c r="C596" s="68"/>
    </row>
    <row r="597" spans="2:3">
      <c r="B597" s="68"/>
      <c r="C597" s="68"/>
    </row>
    <row r="598" spans="2:3">
      <c r="B598" s="68"/>
      <c r="C598" s="68"/>
    </row>
    <row r="599" spans="2:3">
      <c r="B599" s="68"/>
      <c r="C599" s="68"/>
    </row>
    <row r="600" spans="2:3">
      <c r="B600" s="68"/>
      <c r="C600" s="68"/>
    </row>
    <row r="601" spans="2:3">
      <c r="B601" s="68"/>
      <c r="C601" s="68"/>
    </row>
    <row r="602" spans="2:3">
      <c r="B602" s="68"/>
      <c r="C602" s="68"/>
    </row>
    <row r="603" spans="2:3">
      <c r="B603" s="68"/>
      <c r="C603" s="68"/>
    </row>
    <row r="604" spans="2:3">
      <c r="B604" s="68"/>
      <c r="C604" s="68"/>
    </row>
    <row r="605" spans="2:3">
      <c r="B605" s="68"/>
      <c r="C605" s="68"/>
    </row>
    <row r="606" spans="2:3">
      <c r="B606" s="68"/>
      <c r="C606" s="68"/>
    </row>
    <row r="607" spans="2:3">
      <c r="B607" s="68"/>
      <c r="C607" s="68"/>
    </row>
    <row r="608" spans="2:3">
      <c r="B608" s="68"/>
      <c r="C608" s="68"/>
    </row>
    <row r="609" spans="2:3">
      <c r="B609" s="68"/>
      <c r="C609" s="68"/>
    </row>
    <row r="610" spans="2:3">
      <c r="B610" s="68"/>
      <c r="C610" s="68"/>
    </row>
    <row r="611" spans="2:3">
      <c r="B611" s="68"/>
      <c r="C611" s="68"/>
    </row>
    <row r="612" spans="2:3">
      <c r="B612" s="68"/>
      <c r="C612" s="68"/>
    </row>
    <row r="613" spans="2:3">
      <c r="B613" s="68"/>
      <c r="C613" s="68"/>
    </row>
    <row r="614" spans="2:3">
      <c r="B614" s="68"/>
      <c r="C614" s="68"/>
    </row>
    <row r="615" spans="2:3">
      <c r="B615" s="68"/>
      <c r="C615" s="68"/>
    </row>
    <row r="616" spans="2:3">
      <c r="B616" s="68"/>
      <c r="C616" s="68"/>
    </row>
    <row r="617" spans="2:3">
      <c r="B617" s="68"/>
      <c r="C617" s="68"/>
    </row>
    <row r="618" spans="2:3">
      <c r="B618" s="68"/>
      <c r="C618" s="68"/>
    </row>
    <row r="619" spans="2:3">
      <c r="B619" s="68"/>
      <c r="C619" s="68"/>
    </row>
    <row r="620" spans="2:3">
      <c r="B620" s="68"/>
      <c r="C620" s="68"/>
    </row>
    <row r="621" spans="2:3">
      <c r="B621" s="68"/>
      <c r="C621" s="68"/>
    </row>
    <row r="622" spans="2:3">
      <c r="B622" s="68"/>
      <c r="C622" s="68"/>
    </row>
    <row r="623" spans="2:3">
      <c r="B623" s="68"/>
      <c r="C623" s="68"/>
    </row>
    <row r="624" spans="2:3">
      <c r="B624" s="68"/>
      <c r="C624" s="68"/>
    </row>
    <row r="625" spans="2:3">
      <c r="B625" s="68"/>
      <c r="C625" s="68"/>
    </row>
    <row r="626" spans="2:3">
      <c r="B626" s="68"/>
      <c r="C626" s="68"/>
    </row>
    <row r="627" spans="2:3">
      <c r="B627" s="68"/>
      <c r="C627" s="68"/>
    </row>
    <row r="628" spans="2:3">
      <c r="B628" s="68"/>
      <c r="C628" s="68"/>
    </row>
    <row r="629" spans="2:3">
      <c r="B629" s="68"/>
      <c r="C629" s="68"/>
    </row>
    <row r="630" spans="2:3">
      <c r="B630" s="68"/>
      <c r="C630" s="68"/>
    </row>
    <row r="631" spans="2:3">
      <c r="B631" s="68"/>
      <c r="C631" s="68"/>
    </row>
    <row r="632" spans="2:3">
      <c r="B632" s="68"/>
      <c r="C632" s="68"/>
    </row>
    <row r="633" spans="2:3">
      <c r="B633" s="68"/>
      <c r="C633" s="68"/>
    </row>
    <row r="634" spans="2:3">
      <c r="B634" s="68"/>
      <c r="C634" s="68"/>
    </row>
    <row r="635" spans="2:3">
      <c r="B635" s="68"/>
      <c r="C635" s="68"/>
    </row>
    <row r="636" spans="2:3">
      <c r="B636" s="68"/>
      <c r="C636" s="68"/>
    </row>
    <row r="637" spans="2:3">
      <c r="B637" s="68"/>
      <c r="C637" s="68"/>
    </row>
    <row r="638" spans="2:3">
      <c r="B638" s="68"/>
      <c r="C638" s="68"/>
    </row>
    <row r="639" spans="2:3">
      <c r="B639" s="68"/>
      <c r="C639" s="68"/>
    </row>
    <row r="640" spans="2:3">
      <c r="B640" s="68"/>
      <c r="C640" s="68"/>
    </row>
    <row r="641" spans="2:3">
      <c r="B641" s="68"/>
      <c r="C641" s="68"/>
    </row>
    <row r="642" spans="2:3">
      <c r="B642" s="68"/>
      <c r="C642" s="68"/>
    </row>
    <row r="643" spans="2:3">
      <c r="B643" s="68"/>
      <c r="C643" s="68"/>
    </row>
    <row r="644" spans="2:3">
      <c r="B644" s="68"/>
      <c r="C644" s="68"/>
    </row>
    <row r="645" spans="2:3">
      <c r="B645" s="68"/>
      <c r="C645" s="68"/>
    </row>
    <row r="646" spans="2:3">
      <c r="B646" s="68"/>
      <c r="C646" s="68"/>
    </row>
    <row r="647" spans="2:3">
      <c r="B647" s="68"/>
      <c r="C647" s="68"/>
    </row>
    <row r="648" spans="2:3">
      <c r="B648" s="68"/>
      <c r="C648" s="68"/>
    </row>
    <row r="649" spans="2:3">
      <c r="B649" s="68"/>
      <c r="C649" s="68"/>
    </row>
    <row r="650" spans="2:3">
      <c r="B650" s="68"/>
      <c r="C650" s="68"/>
    </row>
    <row r="651" spans="2:3">
      <c r="B651" s="68"/>
      <c r="C651" s="68"/>
    </row>
    <row r="652" spans="2:3">
      <c r="B652" s="68"/>
      <c r="C652" s="68"/>
    </row>
    <row r="653" spans="2:3">
      <c r="B653" s="68"/>
      <c r="C653" s="68"/>
    </row>
    <row r="654" spans="2:3">
      <c r="B654" s="68"/>
      <c r="C654" s="68"/>
    </row>
    <row r="655" spans="2:3">
      <c r="B655" s="68"/>
      <c r="C655" s="68"/>
    </row>
    <row r="656" spans="2:3">
      <c r="B656" s="68"/>
      <c r="C656" s="68"/>
    </row>
    <row r="657" spans="2:3">
      <c r="B657" s="68"/>
      <c r="C657" s="68"/>
    </row>
    <row r="658" spans="2:3">
      <c r="B658" s="68"/>
      <c r="C658" s="68"/>
    </row>
    <row r="659" spans="2:3">
      <c r="B659" s="68"/>
      <c r="C659" s="68"/>
    </row>
    <row r="660" spans="2:3">
      <c r="B660" s="68"/>
      <c r="C660" s="68"/>
    </row>
    <row r="661" spans="2:3">
      <c r="B661" s="68"/>
      <c r="C661" s="68"/>
    </row>
    <row r="662" spans="2:3">
      <c r="B662" s="68"/>
      <c r="C662" s="68"/>
    </row>
    <row r="663" spans="2:3">
      <c r="B663" s="68"/>
      <c r="C663" s="68"/>
    </row>
    <row r="664" spans="2:3">
      <c r="B664" s="68"/>
      <c r="C664" s="68"/>
    </row>
    <row r="665" spans="2:3">
      <c r="B665" s="68"/>
      <c r="C665" s="68"/>
    </row>
    <row r="666" spans="2:3">
      <c r="B666" s="68"/>
      <c r="C666" s="68"/>
    </row>
    <row r="667" spans="2:3">
      <c r="B667" s="68"/>
      <c r="C667" s="68"/>
    </row>
    <row r="668" spans="2:3">
      <c r="B668" s="68"/>
      <c r="C668" s="68"/>
    </row>
    <row r="669" spans="2:3">
      <c r="B669" s="68"/>
      <c r="C669" s="68"/>
    </row>
    <row r="670" spans="2:3">
      <c r="B670" s="68"/>
      <c r="C670" s="68"/>
    </row>
    <row r="671" spans="2:3">
      <c r="B671" s="68"/>
      <c r="C671" s="68"/>
    </row>
    <row r="672" spans="2:3">
      <c r="B672" s="68"/>
      <c r="C672" s="68"/>
    </row>
    <row r="673" spans="2:3">
      <c r="B673" s="68"/>
      <c r="C673" s="68"/>
    </row>
    <row r="674" spans="2:3">
      <c r="B674" s="68"/>
      <c r="C674" s="68"/>
    </row>
    <row r="675" spans="2:3">
      <c r="B675" s="68"/>
      <c r="C675" s="68"/>
    </row>
    <row r="676" spans="2:3">
      <c r="B676" s="68"/>
      <c r="C676" s="68"/>
    </row>
    <row r="677" spans="2:3">
      <c r="B677" s="68"/>
      <c r="C677" s="68"/>
    </row>
    <row r="678" spans="2:3">
      <c r="B678" s="68"/>
      <c r="C678" s="68"/>
    </row>
    <row r="679" spans="2:3">
      <c r="B679" s="68"/>
      <c r="C679" s="68"/>
    </row>
    <row r="680" spans="2:3">
      <c r="B680" s="68"/>
      <c r="C680" s="68"/>
    </row>
    <row r="681" spans="2:3">
      <c r="B681" s="68"/>
      <c r="C681" s="68"/>
    </row>
    <row r="682" spans="2:3">
      <c r="B682" s="68"/>
      <c r="C682" s="68"/>
    </row>
    <row r="683" spans="2:3">
      <c r="B683" s="68"/>
      <c r="C683" s="68"/>
    </row>
    <row r="684" spans="2:3">
      <c r="B684" s="68"/>
      <c r="C684" s="68"/>
    </row>
    <row r="685" spans="2:3">
      <c r="B685" s="68"/>
      <c r="C685" s="68"/>
    </row>
    <row r="686" spans="2:3">
      <c r="B686" s="68"/>
      <c r="C686" s="68"/>
    </row>
    <row r="687" spans="2:3">
      <c r="B687" s="68"/>
      <c r="C687" s="68"/>
    </row>
    <row r="688" spans="2:3">
      <c r="B688" s="68"/>
      <c r="C688" s="68"/>
    </row>
    <row r="689" spans="2:3">
      <c r="B689" s="68"/>
      <c r="C689" s="68"/>
    </row>
    <row r="690" spans="2:3">
      <c r="B690" s="68"/>
      <c r="C690" s="68"/>
    </row>
    <row r="691" spans="2:3">
      <c r="B691" s="68"/>
      <c r="C691" s="68"/>
    </row>
    <row r="692" spans="2:3">
      <c r="B692" s="68"/>
      <c r="C692" s="68"/>
    </row>
    <row r="693" spans="2:3">
      <c r="B693" s="68"/>
      <c r="C693" s="68"/>
    </row>
    <row r="694" spans="2:3">
      <c r="B694" s="68"/>
      <c r="C694" s="68"/>
    </row>
    <row r="695" spans="2:3">
      <c r="B695" s="68"/>
      <c r="C695" s="68"/>
    </row>
    <row r="696" spans="2:3">
      <c r="B696" s="68"/>
      <c r="C696" s="68"/>
    </row>
    <row r="697" spans="2:3">
      <c r="B697" s="68"/>
      <c r="C697" s="68"/>
    </row>
    <row r="698" spans="2:3">
      <c r="B698" s="68"/>
      <c r="C698" s="68"/>
    </row>
    <row r="699" spans="2:3">
      <c r="B699" s="68"/>
      <c r="C699" s="68"/>
    </row>
    <row r="700" spans="2:3">
      <c r="B700" s="68"/>
      <c r="C700" s="68"/>
    </row>
    <row r="701" spans="2:3">
      <c r="B701" s="68"/>
      <c r="C701" s="68"/>
    </row>
    <row r="702" spans="2:3">
      <c r="B702" s="68"/>
      <c r="C702" s="68"/>
    </row>
    <row r="703" spans="2:3">
      <c r="B703" s="68"/>
      <c r="C703" s="68"/>
    </row>
    <row r="704" spans="2:3">
      <c r="B704" s="68"/>
      <c r="C704" s="68"/>
    </row>
    <row r="705" spans="2:3">
      <c r="B705" s="68"/>
      <c r="C705" s="68"/>
    </row>
    <row r="706" spans="2:3">
      <c r="B706" s="68"/>
      <c r="C706" s="68"/>
    </row>
    <row r="707" spans="2:3">
      <c r="B707" s="68"/>
      <c r="C707" s="68"/>
    </row>
    <row r="708" spans="2:3">
      <c r="B708" s="68"/>
      <c r="C708" s="68"/>
    </row>
    <row r="709" spans="2:3">
      <c r="B709" s="68"/>
      <c r="C709" s="68"/>
    </row>
    <row r="710" spans="2:3">
      <c r="B710" s="68"/>
      <c r="C710" s="68"/>
    </row>
    <row r="711" spans="2:3">
      <c r="B711" s="68"/>
      <c r="C711" s="68"/>
    </row>
    <row r="712" spans="2:3">
      <c r="B712" s="68"/>
      <c r="C712" s="68"/>
    </row>
    <row r="713" spans="2:3">
      <c r="B713" s="68"/>
      <c r="C713" s="68"/>
    </row>
    <row r="714" spans="2:3">
      <c r="B714" s="68"/>
      <c r="C714" s="68"/>
    </row>
    <row r="715" spans="2:3">
      <c r="B715" s="68"/>
      <c r="C715" s="68"/>
    </row>
    <row r="716" spans="2:3">
      <c r="B716" s="68"/>
      <c r="C716" s="68"/>
    </row>
    <row r="717" spans="2:3">
      <c r="B717" s="68"/>
      <c r="C717" s="68"/>
    </row>
    <row r="718" spans="2:3">
      <c r="B718" s="68"/>
      <c r="C718" s="68"/>
    </row>
    <row r="719" spans="2:3">
      <c r="B719" s="68"/>
      <c r="C719" s="68"/>
    </row>
    <row r="720" spans="2:3">
      <c r="B720" s="68"/>
      <c r="C720" s="68"/>
    </row>
    <row r="721" spans="2:3">
      <c r="B721" s="68"/>
      <c r="C721" s="68"/>
    </row>
    <row r="722" spans="2:3">
      <c r="B722" s="68"/>
      <c r="C722" s="68"/>
    </row>
    <row r="723" spans="2:3">
      <c r="B723" s="68"/>
      <c r="C723" s="68"/>
    </row>
    <row r="724" spans="2:3">
      <c r="B724" s="68"/>
      <c r="C724" s="68"/>
    </row>
    <row r="725" spans="2:3">
      <c r="B725" s="68"/>
      <c r="C725" s="68"/>
    </row>
    <row r="726" spans="2:3">
      <c r="B726" s="68"/>
      <c r="C726" s="68"/>
    </row>
    <row r="727" spans="2:3">
      <c r="B727" s="68"/>
      <c r="C727" s="68"/>
    </row>
    <row r="728" spans="2:3">
      <c r="B728" s="68"/>
      <c r="C728" s="68"/>
    </row>
    <row r="729" spans="2:3">
      <c r="B729" s="68"/>
      <c r="C729" s="68"/>
    </row>
    <row r="730" spans="2:3">
      <c r="B730" s="68"/>
      <c r="C730" s="68"/>
    </row>
    <row r="731" spans="2:3">
      <c r="B731" s="68"/>
      <c r="C731" s="68"/>
    </row>
    <row r="732" spans="2:3">
      <c r="B732" s="68"/>
      <c r="C732" s="68"/>
    </row>
    <row r="733" spans="2:3">
      <c r="B733" s="68"/>
      <c r="C733" s="68"/>
    </row>
    <row r="734" spans="2:3">
      <c r="B734" s="68"/>
      <c r="C734" s="68"/>
    </row>
    <row r="735" spans="2:3">
      <c r="B735" s="68"/>
      <c r="C735" s="68"/>
    </row>
    <row r="736" spans="2:3">
      <c r="B736" s="68"/>
      <c r="C736" s="68"/>
    </row>
    <row r="737" spans="2:3">
      <c r="B737" s="68"/>
      <c r="C737" s="68"/>
    </row>
    <row r="738" spans="2:3">
      <c r="B738" s="68"/>
      <c r="C738" s="68"/>
    </row>
    <row r="739" spans="2:3">
      <c r="B739" s="68"/>
      <c r="C739" s="68"/>
    </row>
    <row r="740" spans="2:3">
      <c r="B740" s="68"/>
      <c r="C740" s="68"/>
    </row>
    <row r="741" spans="2:3">
      <c r="B741" s="68"/>
      <c r="C741" s="68"/>
    </row>
    <row r="742" spans="2:3">
      <c r="B742" s="68"/>
      <c r="C742" s="68"/>
    </row>
    <row r="743" spans="2:3">
      <c r="B743" s="68"/>
      <c r="C743" s="68"/>
    </row>
    <row r="744" spans="2:3">
      <c r="B744" s="68"/>
      <c r="C744" s="68"/>
    </row>
    <row r="745" spans="2:3">
      <c r="B745" s="68"/>
      <c r="C745" s="68"/>
    </row>
    <row r="746" spans="2:3">
      <c r="B746" s="68"/>
      <c r="C746" s="68"/>
    </row>
    <row r="747" spans="2:3">
      <c r="B747" s="68"/>
      <c r="C747" s="68"/>
    </row>
    <row r="748" spans="2:3">
      <c r="B748" s="68"/>
      <c r="C748" s="68"/>
    </row>
    <row r="749" spans="2:3">
      <c r="B749" s="68"/>
      <c r="C749" s="68"/>
    </row>
    <row r="750" spans="2:3">
      <c r="B750" s="68"/>
      <c r="C750" s="68"/>
    </row>
    <row r="751" spans="2:3">
      <c r="B751" s="68"/>
      <c r="C751" s="68"/>
    </row>
    <row r="752" spans="2:3">
      <c r="B752" s="68"/>
      <c r="C752" s="68"/>
    </row>
    <row r="753" spans="2:3">
      <c r="B753" s="68"/>
      <c r="C753" s="68"/>
    </row>
    <row r="754" spans="2:3">
      <c r="B754" s="68"/>
      <c r="C754" s="68"/>
    </row>
    <row r="755" spans="2:3">
      <c r="B755" s="68"/>
      <c r="C755" s="68"/>
    </row>
    <row r="756" spans="2:3">
      <c r="B756" s="68"/>
      <c r="C756" s="68"/>
    </row>
    <row r="757" spans="2:3">
      <c r="B757" s="68"/>
      <c r="C757" s="68"/>
    </row>
    <row r="758" spans="2:3">
      <c r="B758" s="68"/>
      <c r="C758" s="68"/>
    </row>
    <row r="759" spans="2:3">
      <c r="B759" s="68"/>
      <c r="C759" s="68"/>
    </row>
    <row r="760" spans="2:3">
      <c r="B760" s="68"/>
      <c r="C760" s="68"/>
    </row>
    <row r="761" spans="2:3">
      <c r="B761" s="68"/>
      <c r="C761" s="68"/>
    </row>
    <row r="762" spans="2:3">
      <c r="B762" s="68"/>
      <c r="C762" s="68"/>
    </row>
    <row r="763" spans="2:3">
      <c r="B763" s="68"/>
      <c r="C763" s="68"/>
    </row>
    <row r="764" spans="2:3">
      <c r="B764" s="68"/>
      <c r="C764" s="68"/>
    </row>
    <row r="765" spans="2:3">
      <c r="B765" s="68"/>
      <c r="C765" s="68"/>
    </row>
    <row r="766" spans="2:3">
      <c r="B766" s="68"/>
      <c r="C766" s="68"/>
    </row>
    <row r="767" spans="2:3">
      <c r="B767" s="68"/>
      <c r="C767" s="68"/>
    </row>
    <row r="768" spans="2:3">
      <c r="B768" s="68"/>
      <c r="C768" s="68"/>
    </row>
    <row r="769" spans="2:3">
      <c r="B769" s="68"/>
      <c r="C769" s="68"/>
    </row>
    <row r="770" spans="2:3">
      <c r="B770" s="68"/>
      <c r="C770" s="68"/>
    </row>
    <row r="771" spans="2:3">
      <c r="B771" s="68"/>
      <c r="C771" s="68"/>
    </row>
    <row r="772" spans="2:3">
      <c r="B772" s="68"/>
      <c r="C772" s="68"/>
    </row>
    <row r="773" spans="2:3">
      <c r="B773" s="68"/>
      <c r="C773" s="68"/>
    </row>
    <row r="774" spans="2:3">
      <c r="B774" s="68"/>
      <c r="C774" s="68"/>
    </row>
    <row r="775" spans="2:3">
      <c r="B775" s="68"/>
      <c r="C775" s="68"/>
    </row>
    <row r="776" spans="2:3">
      <c r="B776" s="68"/>
      <c r="C776" s="68"/>
    </row>
    <row r="777" spans="2:3">
      <c r="B777" s="68"/>
      <c r="C777" s="68"/>
    </row>
    <row r="778" spans="2:3">
      <c r="B778" s="68"/>
      <c r="C778" s="68"/>
    </row>
    <row r="779" spans="2:3">
      <c r="B779" s="68"/>
      <c r="C779" s="68"/>
    </row>
    <row r="780" spans="2:3">
      <c r="B780" s="68"/>
      <c r="C780" s="68"/>
    </row>
    <row r="781" spans="2:3">
      <c r="B781" s="68"/>
      <c r="C781" s="68"/>
    </row>
    <row r="782" spans="2:3">
      <c r="B782" s="68"/>
      <c r="C782" s="68"/>
    </row>
    <row r="783" spans="2:3">
      <c r="B783" s="68"/>
      <c r="C783" s="68"/>
    </row>
    <row r="784" spans="2:3">
      <c r="B784" s="68"/>
      <c r="C784" s="68"/>
    </row>
    <row r="785" spans="2:3">
      <c r="B785" s="68"/>
      <c r="C785" s="68"/>
    </row>
    <row r="786" spans="2:3">
      <c r="B786" s="68"/>
      <c r="C786" s="68"/>
    </row>
    <row r="787" spans="2:3">
      <c r="B787" s="68"/>
      <c r="C787" s="68"/>
    </row>
    <row r="788" spans="2:3">
      <c r="B788" s="68"/>
      <c r="C788" s="68"/>
    </row>
    <row r="789" spans="2:3">
      <c r="B789" s="68"/>
      <c r="C789" s="68"/>
    </row>
    <row r="790" spans="2:3">
      <c r="B790" s="68"/>
      <c r="C790" s="68"/>
    </row>
    <row r="791" spans="2:3">
      <c r="B791" s="68"/>
      <c r="C791" s="68"/>
    </row>
    <row r="792" spans="2:3">
      <c r="B792" s="68"/>
      <c r="C792" s="68"/>
    </row>
    <row r="793" spans="2:3">
      <c r="B793" s="68"/>
      <c r="C793" s="68"/>
    </row>
    <row r="794" spans="2:3">
      <c r="B794" s="68"/>
      <c r="C794" s="68"/>
    </row>
    <row r="795" spans="2:3">
      <c r="B795" s="68"/>
      <c r="C795" s="68"/>
    </row>
    <row r="796" spans="2:3">
      <c r="B796" s="68"/>
      <c r="C796" s="68"/>
    </row>
    <row r="797" spans="2:3">
      <c r="B797" s="68"/>
      <c r="C797" s="68"/>
    </row>
    <row r="798" spans="2:3">
      <c r="B798" s="68"/>
      <c r="C798" s="68"/>
    </row>
    <row r="799" spans="2:3">
      <c r="B799" s="68"/>
      <c r="C799" s="68"/>
    </row>
    <row r="800" spans="2:3">
      <c r="B800" s="68"/>
      <c r="C800" s="68"/>
    </row>
    <row r="801" spans="2:3">
      <c r="B801" s="68"/>
      <c r="C801" s="68"/>
    </row>
    <row r="802" spans="2:3">
      <c r="B802" s="68"/>
      <c r="C802" s="68"/>
    </row>
    <row r="803" spans="2:3">
      <c r="B803" s="68"/>
      <c r="C803" s="68"/>
    </row>
    <row r="804" spans="2:3">
      <c r="B804" s="68"/>
      <c r="C804" s="68"/>
    </row>
    <row r="805" spans="2:3">
      <c r="B805" s="68"/>
      <c r="C805" s="68"/>
    </row>
    <row r="806" spans="2:3">
      <c r="B806" s="68"/>
      <c r="C806" s="68"/>
    </row>
    <row r="807" spans="2:3">
      <c r="B807" s="68"/>
      <c r="C807" s="68"/>
    </row>
    <row r="808" spans="2:3">
      <c r="B808" s="68"/>
      <c r="C808" s="68"/>
    </row>
    <row r="809" spans="2:3">
      <c r="B809" s="68"/>
      <c r="C809" s="68"/>
    </row>
    <row r="810" spans="2:3">
      <c r="B810" s="68"/>
      <c r="C810" s="68"/>
    </row>
    <row r="811" spans="2:3">
      <c r="B811" s="68"/>
      <c r="C811" s="68"/>
    </row>
    <row r="812" spans="2:3">
      <c r="B812" s="68"/>
      <c r="C812" s="68"/>
    </row>
    <row r="813" spans="2:3">
      <c r="B813" s="68"/>
      <c r="C813" s="68"/>
    </row>
    <row r="814" spans="2:3">
      <c r="B814" s="68"/>
      <c r="C814" s="68"/>
    </row>
    <row r="815" spans="2:3">
      <c r="B815" s="68"/>
      <c r="C815" s="68"/>
    </row>
    <row r="816" spans="2:3">
      <c r="B816" s="68"/>
      <c r="C816" s="68"/>
    </row>
    <row r="817" spans="2:3">
      <c r="B817" s="68"/>
      <c r="C817" s="68"/>
    </row>
    <row r="818" spans="2:3">
      <c r="B818" s="68"/>
      <c r="C818" s="68"/>
    </row>
    <row r="819" spans="2:3">
      <c r="B819" s="68"/>
      <c r="C819" s="68"/>
    </row>
    <row r="820" spans="2:3">
      <c r="B820" s="68"/>
      <c r="C820" s="68"/>
    </row>
    <row r="821" spans="2:3">
      <c r="B821" s="68"/>
      <c r="C821" s="68"/>
    </row>
    <row r="822" spans="2:3">
      <c r="B822" s="68"/>
      <c r="C822" s="68"/>
    </row>
    <row r="823" spans="2:3">
      <c r="B823" s="68"/>
      <c r="C823" s="68"/>
    </row>
    <row r="824" spans="2:3">
      <c r="B824" s="68"/>
      <c r="C824" s="68"/>
    </row>
    <row r="825" spans="2:3">
      <c r="B825" s="68"/>
      <c r="C825" s="68"/>
    </row>
    <row r="826" spans="2:3">
      <c r="B826" s="68"/>
      <c r="C826" s="68"/>
    </row>
    <row r="827" spans="2:3">
      <c r="B827" s="68"/>
      <c r="C827" s="68"/>
    </row>
    <row r="828" spans="2:3">
      <c r="B828" s="68"/>
      <c r="C828" s="68"/>
    </row>
    <row r="829" spans="2:3">
      <c r="B829" s="68"/>
      <c r="C829" s="68"/>
    </row>
    <row r="830" spans="2:3">
      <c r="B830" s="68"/>
      <c r="C830" s="68"/>
    </row>
    <row r="831" spans="2:3">
      <c r="B831" s="68"/>
      <c r="C831" s="68"/>
    </row>
    <row r="832" spans="2:3">
      <c r="B832" s="68"/>
      <c r="C832" s="68"/>
    </row>
    <row r="833" spans="2:3">
      <c r="B833" s="68"/>
      <c r="C833" s="68"/>
    </row>
    <row r="834" spans="2:3">
      <c r="B834" s="68"/>
      <c r="C834" s="68"/>
    </row>
    <row r="835" spans="2:3">
      <c r="B835" s="68"/>
      <c r="C835" s="68"/>
    </row>
    <row r="836" spans="2:3">
      <c r="B836" s="68"/>
      <c r="C836" s="68"/>
    </row>
    <row r="837" spans="2:3">
      <c r="B837" s="68"/>
      <c r="C837" s="68"/>
    </row>
    <row r="838" spans="2:3">
      <c r="B838" s="68"/>
      <c r="C838" s="68"/>
    </row>
    <row r="839" spans="2:3">
      <c r="B839" s="68"/>
      <c r="C839" s="68"/>
    </row>
    <row r="840" spans="2:3">
      <c r="B840" s="68"/>
      <c r="C840" s="68"/>
    </row>
    <row r="841" spans="2:3">
      <c r="B841" s="68"/>
      <c r="C841" s="68"/>
    </row>
    <row r="842" spans="2:3">
      <c r="B842" s="68"/>
      <c r="C842" s="68"/>
    </row>
    <row r="843" spans="2:3">
      <c r="B843" s="68"/>
      <c r="C843" s="68"/>
    </row>
    <row r="844" spans="2:3">
      <c r="B844" s="68"/>
      <c r="C844" s="68"/>
    </row>
    <row r="845" spans="2:3">
      <c r="B845" s="68"/>
      <c r="C845" s="68"/>
    </row>
    <row r="846" spans="2:3">
      <c r="B846" s="68"/>
      <c r="C846" s="68"/>
    </row>
    <row r="847" spans="2:3">
      <c r="B847" s="68"/>
      <c r="C847" s="68"/>
    </row>
    <row r="848" spans="2:3">
      <c r="B848" s="68"/>
      <c r="C848" s="68"/>
    </row>
    <row r="849" spans="2:3">
      <c r="B849" s="68"/>
      <c r="C849" s="68"/>
    </row>
    <row r="850" spans="2:3">
      <c r="B850" s="68"/>
      <c r="C850" s="68"/>
    </row>
    <row r="851" spans="2:3">
      <c r="B851" s="68"/>
      <c r="C851" s="68"/>
    </row>
    <row r="852" spans="2:3">
      <c r="B852" s="68"/>
      <c r="C852" s="68"/>
    </row>
    <row r="853" spans="2:3">
      <c r="B853" s="68"/>
      <c r="C853" s="68"/>
    </row>
    <row r="854" spans="2:3">
      <c r="B854" s="68"/>
      <c r="C854" s="68"/>
    </row>
    <row r="855" spans="2:3">
      <c r="B855" s="68"/>
      <c r="C855" s="68"/>
    </row>
    <row r="856" spans="2:3">
      <c r="B856" s="68"/>
      <c r="C856" s="68"/>
    </row>
    <row r="857" spans="2:3">
      <c r="B857" s="68"/>
      <c r="C857" s="68"/>
    </row>
    <row r="858" spans="2:3">
      <c r="B858" s="68"/>
      <c r="C858" s="68"/>
    </row>
    <row r="859" spans="2:3">
      <c r="B859" s="68"/>
      <c r="C859" s="68"/>
    </row>
    <row r="860" spans="2:3">
      <c r="B860" s="68"/>
      <c r="C860" s="68"/>
    </row>
    <row r="861" spans="2:3">
      <c r="B861" s="68"/>
      <c r="C861" s="68"/>
    </row>
    <row r="862" spans="2:3">
      <c r="B862" s="68"/>
      <c r="C862" s="68"/>
    </row>
    <row r="863" spans="2:3">
      <c r="B863" s="68"/>
      <c r="C863" s="68"/>
    </row>
    <row r="864" spans="2:3">
      <c r="B864" s="68"/>
      <c r="C864" s="68"/>
    </row>
    <row r="865" spans="2:3">
      <c r="B865" s="68"/>
      <c r="C865" s="68"/>
    </row>
    <row r="866" spans="2:3">
      <c r="B866" s="68"/>
      <c r="C866" s="68"/>
    </row>
    <row r="867" spans="2:3">
      <c r="B867" s="68"/>
      <c r="C867" s="68"/>
    </row>
    <row r="868" spans="2:3">
      <c r="B868" s="68"/>
      <c r="C868" s="68"/>
    </row>
    <row r="869" spans="2:3">
      <c r="B869" s="68"/>
      <c r="C869" s="68"/>
    </row>
    <row r="870" spans="2:3">
      <c r="B870" s="68"/>
      <c r="C870" s="68"/>
    </row>
    <row r="871" spans="2:3">
      <c r="B871" s="68"/>
      <c r="C871" s="68"/>
    </row>
    <row r="872" spans="2:3">
      <c r="B872" s="68"/>
      <c r="C872" s="68"/>
    </row>
    <row r="873" spans="2:3">
      <c r="B873" s="68"/>
      <c r="C873" s="68"/>
    </row>
    <row r="874" spans="2:3">
      <c r="B874" s="68"/>
      <c r="C874" s="68"/>
    </row>
    <row r="875" spans="2:3">
      <c r="B875" s="68"/>
      <c r="C875" s="68"/>
    </row>
    <row r="876" spans="2:3">
      <c r="B876" s="68"/>
      <c r="C876" s="68"/>
    </row>
    <row r="877" spans="2:3">
      <c r="B877" s="68"/>
      <c r="C877" s="68"/>
    </row>
    <row r="878" spans="2:3">
      <c r="B878" s="68"/>
      <c r="C878" s="68"/>
    </row>
    <row r="879" spans="2:3">
      <c r="B879" s="68"/>
      <c r="C879" s="68"/>
    </row>
    <row r="880" spans="2:3">
      <c r="B880" s="68"/>
      <c r="C880" s="68"/>
    </row>
    <row r="881" spans="2:3">
      <c r="B881" s="68"/>
      <c r="C881" s="68"/>
    </row>
    <row r="882" spans="2:3">
      <c r="B882" s="68"/>
      <c r="C882" s="68"/>
    </row>
    <row r="883" spans="2:3">
      <c r="B883" s="68"/>
      <c r="C883" s="68"/>
    </row>
    <row r="884" spans="2:3">
      <c r="B884" s="68"/>
      <c r="C884" s="68"/>
    </row>
    <row r="885" spans="2:3">
      <c r="B885" s="68"/>
      <c r="C885" s="68"/>
    </row>
    <row r="886" spans="2:3">
      <c r="B886" s="68"/>
      <c r="C886" s="68"/>
    </row>
    <row r="887" spans="2:3">
      <c r="B887" s="68"/>
      <c r="C887" s="68"/>
    </row>
    <row r="888" spans="2:3">
      <c r="B888" s="68"/>
      <c r="C888" s="68"/>
    </row>
    <row r="889" spans="2:3">
      <c r="B889" s="68"/>
      <c r="C889" s="68"/>
    </row>
    <row r="890" spans="2:3">
      <c r="B890" s="68"/>
      <c r="C890" s="68"/>
    </row>
    <row r="891" spans="2:3">
      <c r="B891" s="68"/>
      <c r="C891" s="68"/>
    </row>
    <row r="892" spans="2:3">
      <c r="B892" s="68"/>
      <c r="C892" s="68"/>
    </row>
    <row r="893" spans="2:3">
      <c r="B893" s="68"/>
      <c r="C893" s="68"/>
    </row>
    <row r="894" spans="2:3">
      <c r="B894" s="68"/>
      <c r="C894" s="68"/>
    </row>
    <row r="895" spans="2:3">
      <c r="B895" s="68"/>
      <c r="C895" s="68"/>
    </row>
    <row r="896" spans="2:3">
      <c r="B896" s="68"/>
      <c r="C896" s="68"/>
    </row>
    <row r="897" spans="2:3">
      <c r="B897" s="68"/>
      <c r="C897" s="68"/>
    </row>
    <row r="898" spans="2:3">
      <c r="B898" s="68"/>
      <c r="C898" s="68"/>
    </row>
    <row r="899" spans="2:3">
      <c r="B899" s="68"/>
      <c r="C899" s="68"/>
    </row>
    <row r="900" spans="2:3">
      <c r="B900" s="68"/>
      <c r="C900" s="68"/>
    </row>
    <row r="901" spans="2:3">
      <c r="B901" s="68"/>
      <c r="C901" s="68"/>
    </row>
    <row r="902" spans="2:3">
      <c r="B902" s="68"/>
      <c r="C902" s="68"/>
    </row>
    <row r="903" spans="2:3">
      <c r="B903" s="68"/>
      <c r="C903" s="68"/>
    </row>
    <row r="904" spans="2:3">
      <c r="B904" s="68"/>
      <c r="C904" s="68"/>
    </row>
    <row r="905" spans="2:3">
      <c r="B905" s="68"/>
      <c r="C905" s="68"/>
    </row>
    <row r="906" spans="2:3">
      <c r="B906" s="68"/>
      <c r="C906" s="68"/>
    </row>
    <row r="907" spans="2:3">
      <c r="B907" s="68"/>
      <c r="C907" s="68"/>
    </row>
    <row r="908" spans="2:3">
      <c r="B908" s="68"/>
      <c r="C908" s="68"/>
    </row>
    <row r="909" spans="2:3">
      <c r="B909" s="68"/>
      <c r="C909" s="68"/>
    </row>
    <row r="910" spans="2:3">
      <c r="B910" s="68"/>
      <c r="C910" s="68"/>
    </row>
    <row r="911" spans="2:3">
      <c r="B911" s="68"/>
      <c r="C911" s="68"/>
    </row>
    <row r="912" spans="2:3">
      <c r="B912" s="68"/>
      <c r="C912" s="68"/>
    </row>
    <row r="913" spans="2:3">
      <c r="B913" s="68"/>
      <c r="C913" s="68"/>
    </row>
    <row r="914" spans="2:3">
      <c r="B914" s="68"/>
      <c r="C914" s="68"/>
    </row>
    <row r="915" spans="2:3">
      <c r="B915" s="68"/>
      <c r="C915" s="68"/>
    </row>
    <row r="916" spans="2:3">
      <c r="B916" s="68"/>
      <c r="C916" s="68"/>
    </row>
    <row r="917" spans="2:3">
      <c r="B917" s="68"/>
      <c r="C917" s="68"/>
    </row>
    <row r="918" spans="2:3">
      <c r="B918" s="68"/>
      <c r="C918" s="68"/>
    </row>
    <row r="919" spans="2:3">
      <c r="B919" s="68"/>
      <c r="C919" s="68"/>
    </row>
    <row r="920" spans="2:3">
      <c r="B920" s="68"/>
      <c r="C920" s="68"/>
    </row>
    <row r="921" spans="2:3">
      <c r="B921" s="68"/>
      <c r="C921" s="68"/>
    </row>
    <row r="922" spans="2:3">
      <c r="B922" s="68"/>
      <c r="C922" s="68"/>
    </row>
    <row r="923" spans="2:3">
      <c r="B923" s="68"/>
      <c r="C923" s="68"/>
    </row>
    <row r="924" spans="2:3">
      <c r="B924" s="68"/>
      <c r="C924" s="68"/>
    </row>
    <row r="925" spans="2:3">
      <c r="B925" s="68"/>
      <c r="C925" s="68"/>
    </row>
    <row r="926" spans="2:3">
      <c r="B926" s="68"/>
      <c r="C926" s="68"/>
    </row>
    <row r="927" spans="2:3">
      <c r="B927" s="68"/>
      <c r="C927" s="68"/>
    </row>
    <row r="928" spans="2:3">
      <c r="B928" s="68"/>
      <c r="C928" s="68"/>
    </row>
    <row r="929" spans="2:3">
      <c r="B929" s="68"/>
      <c r="C929" s="68"/>
    </row>
    <row r="930" spans="2:3">
      <c r="B930" s="68"/>
      <c r="C930" s="68"/>
    </row>
    <row r="931" spans="2:3">
      <c r="B931" s="68"/>
      <c r="C931" s="68"/>
    </row>
    <row r="932" spans="2:3">
      <c r="B932" s="68"/>
      <c r="C932" s="68"/>
    </row>
    <row r="933" spans="2:3">
      <c r="B933" s="68"/>
      <c r="C933" s="68"/>
    </row>
    <row r="934" spans="2:3">
      <c r="B934" s="68"/>
      <c r="C934" s="68"/>
    </row>
    <row r="935" spans="2:3">
      <c r="B935" s="68"/>
      <c r="C935" s="68"/>
    </row>
    <row r="936" spans="2:3">
      <c r="B936" s="68"/>
      <c r="C936" s="68"/>
    </row>
    <row r="937" spans="2:3">
      <c r="B937" s="68"/>
      <c r="C937" s="68"/>
    </row>
    <row r="938" spans="2:3">
      <c r="B938" s="68"/>
      <c r="C938" s="68"/>
    </row>
    <row r="939" spans="2:3">
      <c r="B939" s="68"/>
      <c r="C939" s="68"/>
    </row>
    <row r="940" spans="2:3">
      <c r="B940" s="68"/>
      <c r="C940" s="68"/>
    </row>
    <row r="941" spans="2:3">
      <c r="B941" s="68"/>
      <c r="C941" s="68"/>
    </row>
    <row r="942" spans="2:3">
      <c r="B942" s="68"/>
      <c r="C942" s="68"/>
    </row>
    <row r="943" spans="2:3">
      <c r="B943" s="68"/>
      <c r="C943" s="68"/>
    </row>
    <row r="944" spans="2:3">
      <c r="B944" s="68"/>
      <c r="C944" s="68"/>
    </row>
    <row r="945" spans="2:3">
      <c r="B945" s="68"/>
      <c r="C945" s="68"/>
    </row>
    <row r="946" spans="2:3">
      <c r="B946" s="68"/>
      <c r="C946" s="68"/>
    </row>
    <row r="947" spans="2:3">
      <c r="B947" s="68"/>
      <c r="C947" s="68"/>
    </row>
    <row r="948" spans="2:3">
      <c r="B948" s="68"/>
      <c r="C948" s="68"/>
    </row>
    <row r="949" spans="2:3">
      <c r="B949" s="68"/>
      <c r="C949" s="68"/>
    </row>
    <row r="950" spans="2:3">
      <c r="B950" s="68"/>
      <c r="C950" s="68"/>
    </row>
    <row r="951" spans="2:3">
      <c r="B951" s="68"/>
      <c r="C951" s="68"/>
    </row>
    <row r="952" spans="2:3">
      <c r="B952" s="68"/>
      <c r="C952" s="68"/>
    </row>
    <row r="953" spans="2:3">
      <c r="B953" s="68"/>
      <c r="C953" s="68"/>
    </row>
    <row r="954" spans="2:3">
      <c r="B954" s="68"/>
      <c r="C954" s="68"/>
    </row>
    <row r="955" spans="2:3">
      <c r="B955" s="68"/>
      <c r="C955" s="68"/>
    </row>
    <row r="956" spans="2:3">
      <c r="B956" s="68"/>
      <c r="C956" s="68"/>
    </row>
    <row r="957" spans="2:3">
      <c r="B957" s="68"/>
      <c r="C957" s="68"/>
    </row>
    <row r="958" spans="2:3">
      <c r="B958" s="68"/>
      <c r="C958" s="68"/>
    </row>
    <row r="959" spans="2:3">
      <c r="B959" s="68"/>
      <c r="C959" s="68"/>
    </row>
    <row r="960" spans="2:3">
      <c r="B960" s="68"/>
      <c r="C960" s="68"/>
    </row>
    <row r="961" spans="2:3">
      <c r="B961" s="68"/>
      <c r="C961" s="68"/>
    </row>
    <row r="962" spans="2:3">
      <c r="B962" s="68"/>
      <c r="C962" s="68"/>
    </row>
    <row r="963" spans="2:3">
      <c r="B963" s="68"/>
      <c r="C963" s="68"/>
    </row>
    <row r="964" spans="2:3">
      <c r="B964" s="68"/>
      <c r="C964" s="68"/>
    </row>
    <row r="965" spans="2:3">
      <c r="B965" s="68"/>
      <c r="C965" s="68"/>
    </row>
    <row r="966" spans="2:3">
      <c r="B966" s="68"/>
      <c r="C966" s="68"/>
    </row>
    <row r="967" spans="2:3">
      <c r="B967" s="68"/>
      <c r="C967" s="68"/>
    </row>
    <row r="968" spans="2:3">
      <c r="B968" s="68"/>
      <c r="C968" s="68"/>
    </row>
    <row r="969" spans="2:3">
      <c r="B969" s="68"/>
      <c r="C969" s="68"/>
    </row>
    <row r="970" spans="2:3">
      <c r="B970" s="68"/>
      <c r="C970" s="68"/>
    </row>
    <row r="971" spans="2:3">
      <c r="B971" s="68"/>
      <c r="C971" s="68"/>
    </row>
    <row r="972" spans="2:3">
      <c r="B972" s="68"/>
      <c r="C972" s="68"/>
    </row>
    <row r="973" spans="2:3">
      <c r="B973" s="68"/>
      <c r="C973" s="68"/>
    </row>
    <row r="974" spans="2:3">
      <c r="B974" s="68"/>
      <c r="C974" s="68"/>
    </row>
    <row r="975" spans="2:3">
      <c r="B975" s="68"/>
      <c r="C975" s="68"/>
    </row>
    <row r="976" spans="2:3">
      <c r="B976" s="68"/>
      <c r="C976" s="68"/>
    </row>
    <row r="977" spans="2:3">
      <c r="B977" s="68"/>
      <c r="C977" s="68"/>
    </row>
    <row r="978" spans="2:3">
      <c r="B978" s="68"/>
      <c r="C978" s="68"/>
    </row>
    <row r="979" spans="2:3">
      <c r="B979" s="68"/>
      <c r="C979" s="68"/>
    </row>
    <row r="980" spans="2:3">
      <c r="B980" s="68"/>
      <c r="C980" s="68"/>
    </row>
    <row r="981" spans="2:3">
      <c r="B981" s="68"/>
      <c r="C981" s="68"/>
    </row>
    <row r="982" spans="2:3">
      <c r="B982" s="68"/>
      <c r="C982" s="68"/>
    </row>
    <row r="983" spans="2:3">
      <c r="B983" s="68"/>
      <c r="C983" s="68"/>
    </row>
    <row r="984" spans="2:3">
      <c r="B984" s="68"/>
      <c r="C984" s="68"/>
    </row>
    <row r="985" spans="2:3">
      <c r="B985" s="68"/>
      <c r="C985" s="68"/>
    </row>
    <row r="986" spans="2:3">
      <c r="B986" s="68"/>
      <c r="C986" s="68"/>
    </row>
    <row r="987" spans="2:3">
      <c r="B987" s="68"/>
      <c r="C987" s="68"/>
    </row>
    <row r="988" spans="2:3">
      <c r="B988" s="68"/>
      <c r="C988" s="68"/>
    </row>
    <row r="989" spans="2:3">
      <c r="B989" s="68"/>
      <c r="C989" s="68"/>
    </row>
    <row r="990" spans="2:3">
      <c r="B990" s="68"/>
      <c r="C990" s="68"/>
    </row>
    <row r="991" spans="2:3">
      <c r="B991" s="68"/>
      <c r="C991" s="68"/>
    </row>
    <row r="992" spans="2:3">
      <c r="B992" s="68"/>
      <c r="C992" s="68"/>
    </row>
    <row r="993" spans="2:3">
      <c r="B993" s="68"/>
      <c r="C993" s="68"/>
    </row>
    <row r="994" spans="2:3">
      <c r="B994" s="68"/>
      <c r="C994" s="68"/>
    </row>
    <row r="995" spans="2:3">
      <c r="B995" s="68"/>
      <c r="C995" s="68"/>
    </row>
    <row r="996" spans="2:3">
      <c r="B996" s="68"/>
      <c r="C996" s="68"/>
    </row>
    <row r="997" spans="2:3">
      <c r="B997" s="68"/>
      <c r="C997" s="68"/>
    </row>
    <row r="998" spans="2:3">
      <c r="B998" s="68"/>
      <c r="C998" s="68"/>
    </row>
    <row r="999" spans="2:3">
      <c r="B999" s="68"/>
      <c r="C999" s="68"/>
    </row>
    <row r="1000" spans="2:3">
      <c r="B1000" s="68"/>
      <c r="C1000" s="68"/>
    </row>
    <row r="1001" spans="2:3">
      <c r="B1001" s="68"/>
      <c r="C1001" s="68"/>
    </row>
    <row r="1002" spans="2:3">
      <c r="B1002" s="68"/>
      <c r="C1002" s="68"/>
    </row>
    <row r="1003" spans="2:3">
      <c r="B1003" s="68"/>
      <c r="C1003" s="68"/>
    </row>
    <row r="1004" spans="2:3">
      <c r="B1004" s="68"/>
      <c r="C1004" s="68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0020F-827F-4AAC-8435-318425411234}">
  <sheetPr codeName="Hoja1"/>
  <dimension ref="B2:AA51"/>
  <sheetViews>
    <sheetView zoomScale="85" zoomScaleNormal="85" workbookViewId="0">
      <selection activeCell="AD31" sqref="AD31"/>
    </sheetView>
  </sheetViews>
  <sheetFormatPr baseColWidth="10" defaultRowHeight="15.6"/>
  <cols>
    <col min="2" max="3" width="6.8984375" hidden="1" customWidth="1"/>
    <col min="4" max="4" width="15.3984375" hidden="1" customWidth="1"/>
    <col min="5" max="5" width="12.5" hidden="1" customWidth="1"/>
    <col min="7" max="7" width="0" hidden="1" customWidth="1"/>
    <col min="8" max="8" width="17.3984375" hidden="1" customWidth="1"/>
    <col min="9" max="9" width="11.8984375" hidden="1" customWidth="1"/>
    <col min="10" max="10" width="9.8984375" hidden="1" customWidth="1"/>
    <col min="11" max="12" width="11.8984375" hidden="1" customWidth="1"/>
    <col min="13" max="13" width="9.8984375" hidden="1" customWidth="1"/>
    <col min="14" max="14" width="11.8984375" hidden="1" customWidth="1"/>
    <col min="15" max="15" width="9.8984375" hidden="1" customWidth="1"/>
    <col min="16" max="16" width="11.8984375" hidden="1" customWidth="1"/>
    <col min="17" max="27" width="0" hidden="1" customWidth="1"/>
  </cols>
  <sheetData>
    <row r="2" spans="2:27">
      <c r="B2" s="40" t="s">
        <v>53</v>
      </c>
      <c r="C2" s="40" t="s">
        <v>54</v>
      </c>
      <c r="D2" s="40" t="s">
        <v>55</v>
      </c>
      <c r="E2" s="40" t="s">
        <v>56</v>
      </c>
      <c r="H2" s="61" t="s">
        <v>58</v>
      </c>
    </row>
    <row r="3" spans="2:27">
      <c r="B3" s="5">
        <v>10</v>
      </c>
      <c r="C3" s="5">
        <v>10</v>
      </c>
      <c r="D3" s="5">
        <v>0.43912600000000002</v>
      </c>
      <c r="E3" s="64">
        <v>9.1799999999999995E-5</v>
      </c>
      <c r="I3">
        <v>10</v>
      </c>
      <c r="J3">
        <v>31</v>
      </c>
      <c r="K3">
        <v>100</v>
      </c>
      <c r="L3">
        <v>316</v>
      </c>
      <c r="M3">
        <v>1000</v>
      </c>
      <c r="N3">
        <v>3162</v>
      </c>
      <c r="O3">
        <v>10000</v>
      </c>
      <c r="P3" t="s">
        <v>57</v>
      </c>
    </row>
    <row r="4" spans="2:27">
      <c r="B4" s="5">
        <v>10</v>
      </c>
      <c r="C4" s="5">
        <v>31</v>
      </c>
      <c r="D4" s="5">
        <v>0.43795899999999999</v>
      </c>
      <c r="E4" s="64">
        <v>7.8399999999999995E-5</v>
      </c>
      <c r="H4" s="63">
        <v>10</v>
      </c>
      <c r="I4" s="65">
        <v>0.43912600000000002</v>
      </c>
      <c r="J4" s="65">
        <v>0.216168</v>
      </c>
      <c r="K4" s="65">
        <v>7.5782199999999994E-2</v>
      </c>
      <c r="L4" s="65">
        <v>3.2332E-2</v>
      </c>
      <c r="M4" s="65">
        <v>1.7976800000000001E-2</v>
      </c>
      <c r="N4" s="65">
        <v>1.34158E-2</v>
      </c>
      <c r="O4" s="65">
        <v>1.19674E-2</v>
      </c>
      <c r="P4" s="65">
        <v>0.11525260000000001</v>
      </c>
      <c r="T4" s="62"/>
      <c r="U4" s="62">
        <v>10</v>
      </c>
      <c r="V4" s="62">
        <v>31</v>
      </c>
      <c r="W4" s="62">
        <v>100</v>
      </c>
      <c r="X4" s="62">
        <v>316</v>
      </c>
      <c r="Y4" s="62">
        <v>1000</v>
      </c>
      <c r="Z4" s="62">
        <v>3162</v>
      </c>
      <c r="AA4" s="62">
        <v>10000</v>
      </c>
    </row>
    <row r="5" spans="2:27">
      <c r="B5" s="5">
        <v>10</v>
      </c>
      <c r="C5" s="5">
        <v>100</v>
      </c>
      <c r="D5" s="5">
        <v>0.43757299999999999</v>
      </c>
      <c r="E5" s="5">
        <v>1.996E-4</v>
      </c>
      <c r="H5" s="63">
        <v>31</v>
      </c>
      <c r="I5" s="65">
        <v>0.43795899999999999</v>
      </c>
      <c r="J5" s="65">
        <v>0.210508</v>
      </c>
      <c r="K5" s="65">
        <v>6.8724499999999994E-2</v>
      </c>
      <c r="L5" s="65">
        <v>2.4872499999999999E-2</v>
      </c>
      <c r="M5" s="65">
        <v>1.04052E-2</v>
      </c>
      <c r="N5" s="65">
        <v>5.8095500000000001E-3</v>
      </c>
      <c r="O5" s="65">
        <v>4.3503200000000004E-3</v>
      </c>
      <c r="P5" s="65">
        <v>0.10894701</v>
      </c>
      <c r="T5" s="63">
        <v>10</v>
      </c>
      <c r="U5" s="67">
        <v>0.43912600000000002</v>
      </c>
      <c r="V5" s="67">
        <v>0.216168</v>
      </c>
      <c r="W5" s="67">
        <v>7.5782199999999994E-2</v>
      </c>
      <c r="X5" s="67">
        <v>3.2332E-2</v>
      </c>
      <c r="Y5" s="67">
        <v>1.7976800000000001E-2</v>
      </c>
      <c r="Z5" s="67">
        <v>1.34158E-2</v>
      </c>
      <c r="AA5" s="67">
        <v>1.19674E-2</v>
      </c>
    </row>
    <row r="6" spans="2:27">
      <c r="B6" s="5">
        <v>10</v>
      </c>
      <c r="C6" s="5">
        <v>316</v>
      </c>
      <c r="D6" s="5">
        <v>0.43745400000000001</v>
      </c>
      <c r="E6" s="5">
        <v>6.0090000000000002E-4</v>
      </c>
      <c r="H6" s="63">
        <v>100</v>
      </c>
      <c r="I6" s="65">
        <v>0.43757299999999999</v>
      </c>
      <c r="J6" s="65">
        <v>0.20860000000000001</v>
      </c>
      <c r="K6" s="65">
        <v>6.6372200000000006E-2</v>
      </c>
      <c r="L6" s="65">
        <v>2.2391600000000001E-2</v>
      </c>
      <c r="M6" s="65">
        <v>7.8884799999999998E-3</v>
      </c>
      <c r="N6" s="65">
        <v>3.28174E-3</v>
      </c>
      <c r="O6" s="65">
        <v>1.81905E-3</v>
      </c>
      <c r="P6" s="65">
        <v>0.10684658142857142</v>
      </c>
      <c r="T6" s="63">
        <v>31</v>
      </c>
      <c r="U6" s="67">
        <v>0.43795899999999999</v>
      </c>
      <c r="V6" s="67">
        <v>0.210508</v>
      </c>
      <c r="W6" s="67">
        <v>6.8724499999999994E-2</v>
      </c>
      <c r="X6" s="67">
        <v>2.4872499999999999E-2</v>
      </c>
      <c r="Y6" s="67">
        <v>1.04052E-2</v>
      </c>
      <c r="Z6" s="67">
        <v>5.8095500000000001E-3</v>
      </c>
      <c r="AA6" s="67">
        <v>4.3503200000000004E-3</v>
      </c>
    </row>
    <row r="7" spans="2:27">
      <c r="B7" s="5">
        <v>10</v>
      </c>
      <c r="C7" s="5">
        <v>1000</v>
      </c>
      <c r="D7" s="5">
        <v>0.437417</v>
      </c>
      <c r="E7" s="5">
        <v>1.9218E-3</v>
      </c>
      <c r="H7" s="63">
        <v>316</v>
      </c>
      <c r="I7" s="65">
        <v>0.43745400000000001</v>
      </c>
      <c r="J7" s="65">
        <v>0.20801</v>
      </c>
      <c r="K7" s="65">
        <v>6.5646700000000002E-2</v>
      </c>
      <c r="L7" s="65">
        <v>2.1626900000000001E-2</v>
      </c>
      <c r="M7" s="65">
        <v>7.1128800000000002E-3</v>
      </c>
      <c r="N7" s="65">
        <v>2.5027600000000001E-3</v>
      </c>
      <c r="O7" s="65">
        <v>1.0390099999999999E-3</v>
      </c>
      <c r="P7" s="65">
        <v>0.10619889285714287</v>
      </c>
      <c r="T7" s="63">
        <v>100</v>
      </c>
      <c r="U7" s="67">
        <v>0.43757299999999999</v>
      </c>
      <c r="V7" s="67">
        <v>0.20860000000000001</v>
      </c>
      <c r="W7" s="67">
        <v>6.6372200000000006E-2</v>
      </c>
      <c r="X7" s="67">
        <v>2.2391600000000001E-2</v>
      </c>
      <c r="Y7" s="67">
        <v>7.8884799999999998E-3</v>
      </c>
      <c r="Z7" s="67">
        <v>3.28174E-3</v>
      </c>
      <c r="AA7" s="67">
        <v>1.81905E-3</v>
      </c>
    </row>
    <row r="8" spans="2:27">
      <c r="B8" s="5">
        <v>10</v>
      </c>
      <c r="C8" s="5">
        <v>3162</v>
      </c>
      <c r="D8" s="5">
        <v>0.43740499999999999</v>
      </c>
      <c r="E8" s="5">
        <v>8.7264000000000005E-3</v>
      </c>
      <c r="H8" s="63">
        <v>1000</v>
      </c>
      <c r="I8" s="65">
        <v>0.437417</v>
      </c>
      <c r="J8" s="65">
        <v>0.20782300000000001</v>
      </c>
      <c r="K8" s="65">
        <v>6.5416600000000005E-2</v>
      </c>
      <c r="L8" s="65">
        <v>2.1384500000000001E-2</v>
      </c>
      <c r="M8" s="65">
        <v>6.8670099999999998E-3</v>
      </c>
      <c r="N8" s="65">
        <v>2.25582E-3</v>
      </c>
      <c r="O8" s="65">
        <v>7.9174400000000004E-4</v>
      </c>
      <c r="P8" s="65">
        <v>0.10599366771428574</v>
      </c>
      <c r="T8" s="63">
        <v>316</v>
      </c>
      <c r="U8" s="67">
        <v>0.43745400000000001</v>
      </c>
      <c r="V8" s="67">
        <v>0.20801</v>
      </c>
      <c r="W8" s="67">
        <v>6.5646700000000002E-2</v>
      </c>
      <c r="X8" s="67">
        <v>2.1626900000000001E-2</v>
      </c>
      <c r="Y8" s="67">
        <v>7.1128800000000002E-3</v>
      </c>
      <c r="Z8" s="67">
        <v>2.5027600000000001E-3</v>
      </c>
      <c r="AA8" s="67">
        <v>1.0390099999999999E-3</v>
      </c>
    </row>
    <row r="9" spans="2:27">
      <c r="B9" s="5">
        <v>10</v>
      </c>
      <c r="C9" s="5">
        <v>10000</v>
      </c>
      <c r="D9" s="5">
        <v>0.43740099999999998</v>
      </c>
      <c r="E9" s="5">
        <v>2.7996699999999999E-2</v>
      </c>
      <c r="H9" s="63">
        <v>3162</v>
      </c>
      <c r="I9" s="65">
        <v>0.43740499999999999</v>
      </c>
      <c r="J9" s="65">
        <v>0.207763</v>
      </c>
      <c r="K9" s="65">
        <v>6.5343899999999996E-2</v>
      </c>
      <c r="L9" s="65">
        <v>2.1307900000000001E-2</v>
      </c>
      <c r="M9" s="65">
        <v>6.7893099999999998E-3</v>
      </c>
      <c r="N9" s="65">
        <v>2.1777900000000002E-3</v>
      </c>
      <c r="O9" s="65">
        <v>7.1361099999999995E-4</v>
      </c>
      <c r="P9" s="65">
        <v>0.10592864442857143</v>
      </c>
      <c r="T9" s="63">
        <v>1000</v>
      </c>
      <c r="U9" s="67">
        <v>0.437417</v>
      </c>
      <c r="V9" s="67">
        <v>0.20782300000000001</v>
      </c>
      <c r="W9" s="67">
        <v>6.5416600000000005E-2</v>
      </c>
      <c r="X9" s="67">
        <v>2.1384500000000001E-2</v>
      </c>
      <c r="Y9" s="67">
        <v>6.8670099999999998E-3</v>
      </c>
      <c r="Z9" s="67">
        <v>2.25582E-3</v>
      </c>
      <c r="AA9" s="67">
        <v>7.9174400000000004E-4</v>
      </c>
    </row>
    <row r="10" spans="2:27">
      <c r="B10" s="5">
        <v>31</v>
      </c>
      <c r="C10" s="5">
        <v>10</v>
      </c>
      <c r="D10" s="5">
        <v>0.216168</v>
      </c>
      <c r="E10" s="64">
        <v>7.4900000000000005E-5</v>
      </c>
      <c r="H10" s="63">
        <v>10000</v>
      </c>
      <c r="I10" s="65">
        <v>0.43740099999999998</v>
      </c>
      <c r="J10" s="65">
        <v>0.20774500000000001</v>
      </c>
      <c r="K10" s="65">
        <v>6.5320900000000001E-2</v>
      </c>
      <c r="L10" s="65">
        <v>2.1283699999999999E-2</v>
      </c>
      <c r="M10" s="65">
        <v>6.76474E-3</v>
      </c>
      <c r="N10" s="65">
        <v>2.1531100000000002E-3</v>
      </c>
      <c r="O10" s="65">
        <v>6.8889600000000004E-4</v>
      </c>
      <c r="P10" s="65">
        <v>0.10590819228571428</v>
      </c>
      <c r="T10" s="63">
        <v>3162</v>
      </c>
      <c r="U10" s="67">
        <v>0.43740499999999999</v>
      </c>
      <c r="V10" s="67">
        <v>0.207763</v>
      </c>
      <c r="W10" s="67">
        <v>6.5343899999999996E-2</v>
      </c>
      <c r="X10" s="67">
        <v>2.1307900000000001E-2</v>
      </c>
      <c r="Y10" s="67">
        <v>6.7893099999999998E-3</v>
      </c>
      <c r="Z10" s="67">
        <v>2.1777900000000002E-3</v>
      </c>
      <c r="AA10" s="67">
        <v>7.1361099999999995E-4</v>
      </c>
    </row>
    <row r="11" spans="2:27">
      <c r="B11" s="5">
        <v>31</v>
      </c>
      <c r="C11" s="5">
        <v>31</v>
      </c>
      <c r="D11" s="5">
        <v>0.210508</v>
      </c>
      <c r="E11" s="5">
        <v>1.239E-4</v>
      </c>
      <c r="H11" s="63" t="s">
        <v>57</v>
      </c>
      <c r="I11">
        <v>0.43776214285714288</v>
      </c>
      <c r="J11">
        <v>0.20951671428571431</v>
      </c>
      <c r="K11">
        <v>6.7515285714285708E-2</v>
      </c>
      <c r="L11">
        <v>2.3599871428571426E-2</v>
      </c>
      <c r="M11">
        <v>9.1149171428571429E-3</v>
      </c>
      <c r="N11">
        <v>4.513795714285714E-3</v>
      </c>
      <c r="O11">
        <v>3.0528615714285716E-3</v>
      </c>
      <c r="P11">
        <v>0.10786794124489797</v>
      </c>
      <c r="T11" s="63">
        <v>10000</v>
      </c>
      <c r="U11" s="67">
        <v>0.43740099999999998</v>
      </c>
      <c r="V11" s="67">
        <v>0.20774500000000001</v>
      </c>
      <c r="W11" s="67">
        <v>6.5320900000000001E-2</v>
      </c>
      <c r="X11" s="67">
        <v>2.1283699999999999E-2</v>
      </c>
      <c r="Y11" s="67">
        <v>6.76474E-3</v>
      </c>
      <c r="Z11" s="67">
        <v>2.1531100000000002E-3</v>
      </c>
      <c r="AA11" s="67">
        <v>6.8889600000000004E-4</v>
      </c>
    </row>
    <row r="12" spans="2:27">
      <c r="B12" s="5">
        <v>31</v>
      </c>
      <c r="C12" s="5">
        <v>100</v>
      </c>
      <c r="D12" s="5">
        <v>0.20860000000000001</v>
      </c>
      <c r="E12" s="5">
        <v>3.7179999999999998E-4</v>
      </c>
    </row>
    <row r="13" spans="2:27">
      <c r="B13" s="5">
        <v>31</v>
      </c>
      <c r="C13" s="5">
        <v>316</v>
      </c>
      <c r="D13" s="5">
        <v>0.20801</v>
      </c>
      <c r="E13" s="5">
        <v>1.1326999999999999E-3</v>
      </c>
    </row>
    <row r="14" spans="2:27">
      <c r="B14" s="5">
        <v>31</v>
      </c>
      <c r="C14" s="5">
        <v>1000</v>
      </c>
      <c r="D14" s="5">
        <v>0.20782300000000001</v>
      </c>
      <c r="E14" s="5">
        <v>4.2258E-3</v>
      </c>
      <c r="H14" s="61" t="s">
        <v>59</v>
      </c>
      <c r="T14" s="62"/>
      <c r="U14" s="62">
        <v>10</v>
      </c>
      <c r="V14" s="62">
        <v>31</v>
      </c>
      <c r="W14" s="62">
        <v>100</v>
      </c>
      <c r="X14" s="62">
        <v>316</v>
      </c>
      <c r="Y14" s="62">
        <v>1000</v>
      </c>
      <c r="Z14" s="62">
        <v>3162</v>
      </c>
      <c r="AA14" s="62">
        <v>10000</v>
      </c>
    </row>
    <row r="15" spans="2:27">
      <c r="B15" s="5">
        <v>31</v>
      </c>
      <c r="C15" s="5">
        <v>3162</v>
      </c>
      <c r="D15" s="5">
        <v>0.207763</v>
      </c>
      <c r="E15" s="5">
        <v>1.40722E-2</v>
      </c>
      <c r="I15">
        <v>10</v>
      </c>
      <c r="J15">
        <v>31</v>
      </c>
      <c r="K15">
        <v>100</v>
      </c>
      <c r="L15">
        <v>316</v>
      </c>
      <c r="M15">
        <v>1000</v>
      </c>
      <c r="N15">
        <v>3162</v>
      </c>
      <c r="O15">
        <v>10000</v>
      </c>
      <c r="P15" t="s">
        <v>57</v>
      </c>
      <c r="T15" s="63">
        <v>10</v>
      </c>
      <c r="U15">
        <v>9.1799999999999995E-5</v>
      </c>
      <c r="V15">
        <v>7.4900000000000005E-5</v>
      </c>
      <c r="W15">
        <v>1.3190000000000001E-4</v>
      </c>
      <c r="X15">
        <v>3.3940000000000001E-4</v>
      </c>
      <c r="Y15">
        <v>1.0241E-3</v>
      </c>
      <c r="Z15">
        <v>3.1202000000000001E-3</v>
      </c>
      <c r="AA15">
        <v>1.34263E-2</v>
      </c>
    </row>
    <row r="16" spans="2:27">
      <c r="B16" s="5">
        <v>31</v>
      </c>
      <c r="C16" s="5">
        <v>10000</v>
      </c>
      <c r="D16" s="5">
        <v>0.20774500000000001</v>
      </c>
      <c r="E16" s="5">
        <v>7.2007399999999999E-2</v>
      </c>
      <c r="H16" s="63">
        <v>10</v>
      </c>
      <c r="I16" s="66">
        <v>9.1799999999999995E-5</v>
      </c>
      <c r="J16" s="66">
        <v>7.4900000000000005E-5</v>
      </c>
      <c r="K16" s="66">
        <v>1.3190000000000001E-4</v>
      </c>
      <c r="L16" s="66">
        <v>3.3940000000000001E-4</v>
      </c>
      <c r="M16" s="66">
        <v>1.0241E-3</v>
      </c>
      <c r="N16" s="66">
        <v>3.1202000000000001E-3</v>
      </c>
      <c r="O16" s="66">
        <v>1.34263E-2</v>
      </c>
      <c r="P16" s="66">
        <v>2.6012285714285713E-3</v>
      </c>
      <c r="T16" s="63">
        <v>31</v>
      </c>
      <c r="U16">
        <v>7.8399999999999995E-5</v>
      </c>
      <c r="V16">
        <v>1.239E-4</v>
      </c>
      <c r="W16">
        <v>5.7779999999999995E-4</v>
      </c>
      <c r="X16">
        <v>9.0970000000000005E-4</v>
      </c>
      <c r="Y16">
        <v>3.3057999999999998E-3</v>
      </c>
      <c r="Z16">
        <v>1.1742900000000001E-2</v>
      </c>
      <c r="AA16">
        <v>3.4073300000000001E-2</v>
      </c>
    </row>
    <row r="17" spans="2:27">
      <c r="B17" s="5">
        <v>100</v>
      </c>
      <c r="C17" s="5">
        <v>10</v>
      </c>
      <c r="D17" s="5">
        <v>7.5782199999999994E-2</v>
      </c>
      <c r="E17" s="5">
        <v>1.3190000000000001E-4</v>
      </c>
      <c r="H17" s="63">
        <v>31</v>
      </c>
      <c r="I17" s="66">
        <v>7.8399999999999995E-5</v>
      </c>
      <c r="J17" s="66">
        <v>1.239E-4</v>
      </c>
      <c r="K17" s="66">
        <v>5.7779999999999995E-4</v>
      </c>
      <c r="L17" s="66">
        <v>9.0970000000000005E-4</v>
      </c>
      <c r="M17" s="66">
        <v>3.3057999999999998E-3</v>
      </c>
      <c r="N17" s="66">
        <v>1.1742900000000001E-2</v>
      </c>
      <c r="O17" s="66">
        <v>3.4073300000000001E-2</v>
      </c>
      <c r="P17" s="66">
        <v>7.2588285714285722E-3</v>
      </c>
      <c r="T17" s="63">
        <v>100</v>
      </c>
      <c r="U17">
        <v>1.996E-4</v>
      </c>
      <c r="V17">
        <v>3.7179999999999998E-4</v>
      </c>
      <c r="W17">
        <v>1.1077999999999999E-3</v>
      </c>
      <c r="X17">
        <v>3.0081000000000001E-3</v>
      </c>
      <c r="Y17">
        <v>1.1032500000000001E-2</v>
      </c>
      <c r="Z17">
        <v>2.8757000000000001E-2</v>
      </c>
      <c r="AA17">
        <v>9.7502599999999995E-2</v>
      </c>
    </row>
    <row r="18" spans="2:27">
      <c r="B18" s="5">
        <v>100</v>
      </c>
      <c r="C18" s="5">
        <v>31</v>
      </c>
      <c r="D18" s="5">
        <v>6.8724499999999994E-2</v>
      </c>
      <c r="E18" s="5">
        <v>5.7779999999999995E-4</v>
      </c>
      <c r="H18" s="63">
        <v>100</v>
      </c>
      <c r="I18" s="66">
        <v>1.996E-4</v>
      </c>
      <c r="J18" s="66">
        <v>3.7179999999999998E-4</v>
      </c>
      <c r="K18" s="66">
        <v>1.1077999999999999E-3</v>
      </c>
      <c r="L18" s="66">
        <v>3.0081000000000001E-3</v>
      </c>
      <c r="M18" s="66">
        <v>1.1032500000000001E-2</v>
      </c>
      <c r="N18" s="66">
        <v>2.8757000000000001E-2</v>
      </c>
      <c r="O18" s="66">
        <v>9.7502599999999995E-2</v>
      </c>
      <c r="P18" s="66">
        <v>2.0282771428571426E-2</v>
      </c>
      <c r="T18" s="63">
        <v>316</v>
      </c>
      <c r="U18">
        <v>6.0090000000000002E-4</v>
      </c>
      <c r="V18">
        <v>1.1326999999999999E-3</v>
      </c>
      <c r="W18">
        <v>3.4757E-3</v>
      </c>
      <c r="X18">
        <v>9.6913999999999993E-3</v>
      </c>
      <c r="Y18">
        <v>2.7746799999999999E-2</v>
      </c>
      <c r="Z18">
        <v>9.2583899999999997E-2</v>
      </c>
      <c r="AA18">
        <v>0.32954899999999998</v>
      </c>
    </row>
    <row r="19" spans="2:27">
      <c r="B19" s="5">
        <v>100</v>
      </c>
      <c r="C19" s="5">
        <v>100</v>
      </c>
      <c r="D19" s="5">
        <v>6.6372200000000006E-2</v>
      </c>
      <c r="E19" s="5">
        <v>1.1077999999999999E-3</v>
      </c>
      <c r="H19" s="63">
        <v>316</v>
      </c>
      <c r="I19" s="66">
        <v>6.0090000000000002E-4</v>
      </c>
      <c r="J19" s="66">
        <v>1.1326999999999999E-3</v>
      </c>
      <c r="K19" s="66">
        <v>3.4757E-3</v>
      </c>
      <c r="L19" s="66">
        <v>9.6913999999999993E-3</v>
      </c>
      <c r="M19" s="66">
        <v>2.7746799999999999E-2</v>
      </c>
      <c r="N19" s="66">
        <v>9.2583899999999997E-2</v>
      </c>
      <c r="O19" s="66">
        <v>0.32954899999999998</v>
      </c>
      <c r="P19" s="66">
        <v>6.6397200000000003E-2</v>
      </c>
      <c r="T19" s="63">
        <v>1000</v>
      </c>
      <c r="U19">
        <v>1.9218E-3</v>
      </c>
      <c r="V19">
        <v>4.2258E-3</v>
      </c>
      <c r="W19">
        <v>1.61537E-2</v>
      </c>
      <c r="X19">
        <v>3.10694E-2</v>
      </c>
      <c r="Y19">
        <v>9.3986399999999998E-2</v>
      </c>
      <c r="Z19">
        <v>0.28954600000000003</v>
      </c>
      <c r="AA19">
        <v>1.2458199999999999</v>
      </c>
    </row>
    <row r="20" spans="2:27">
      <c r="B20" s="5">
        <v>100</v>
      </c>
      <c r="C20" s="5">
        <v>316</v>
      </c>
      <c r="D20" s="5">
        <v>6.5646700000000002E-2</v>
      </c>
      <c r="E20" s="5">
        <v>3.4757E-3</v>
      </c>
      <c r="H20" s="63">
        <v>1000</v>
      </c>
      <c r="I20" s="66">
        <v>1.9218E-3</v>
      </c>
      <c r="J20" s="66">
        <v>4.2258E-3</v>
      </c>
      <c r="K20" s="66">
        <v>1.61537E-2</v>
      </c>
      <c r="L20" s="66">
        <v>3.10694E-2</v>
      </c>
      <c r="M20" s="66">
        <v>9.3986399999999998E-2</v>
      </c>
      <c r="N20" s="66">
        <v>0.28954600000000003</v>
      </c>
      <c r="O20" s="66">
        <v>1.2458199999999999</v>
      </c>
      <c r="P20" s="66">
        <v>0.2403890142857143</v>
      </c>
      <c r="T20" s="63">
        <v>3162</v>
      </c>
      <c r="U20">
        <v>8.7264000000000005E-3</v>
      </c>
      <c r="V20">
        <v>1.40722E-2</v>
      </c>
      <c r="W20">
        <v>3.2094900000000003E-2</v>
      </c>
      <c r="X20">
        <v>0.114283</v>
      </c>
      <c r="Y20">
        <v>0.281165</v>
      </c>
      <c r="Z20">
        <v>0.97087299999999999</v>
      </c>
      <c r="AA20">
        <v>3.93831</v>
      </c>
    </row>
    <row r="21" spans="2:27">
      <c r="B21" s="5">
        <v>100</v>
      </c>
      <c r="C21" s="5">
        <v>1000</v>
      </c>
      <c r="D21" s="5">
        <v>6.5416600000000005E-2</v>
      </c>
      <c r="E21" s="5">
        <v>1.61537E-2</v>
      </c>
      <c r="H21" s="63">
        <v>3162</v>
      </c>
      <c r="I21" s="66">
        <v>8.7264000000000005E-3</v>
      </c>
      <c r="J21" s="66">
        <v>1.40722E-2</v>
      </c>
      <c r="K21" s="66">
        <v>3.2094900000000003E-2</v>
      </c>
      <c r="L21" s="66">
        <v>0.114283</v>
      </c>
      <c r="M21" s="66">
        <v>0.281165</v>
      </c>
      <c r="N21" s="66">
        <v>0.97087299999999999</v>
      </c>
      <c r="O21" s="66">
        <v>3.93831</v>
      </c>
      <c r="P21" s="66">
        <v>0.76564635714285711</v>
      </c>
      <c r="T21" s="63">
        <v>10000</v>
      </c>
      <c r="U21">
        <v>2.7996699999999999E-2</v>
      </c>
      <c r="V21">
        <v>7.2007399999999999E-2</v>
      </c>
      <c r="W21">
        <v>0.10248599999999999</v>
      </c>
      <c r="X21">
        <v>0.30385600000000001</v>
      </c>
      <c r="Y21">
        <v>0.86760999999999999</v>
      </c>
      <c r="Z21">
        <v>3.23665</v>
      </c>
      <c r="AA21">
        <v>17.1187</v>
      </c>
    </row>
    <row r="22" spans="2:27">
      <c r="B22" s="5">
        <v>100</v>
      </c>
      <c r="C22" s="5">
        <v>3162</v>
      </c>
      <c r="D22" s="5">
        <v>6.5343899999999996E-2</v>
      </c>
      <c r="E22" s="5">
        <v>3.2094900000000003E-2</v>
      </c>
      <c r="H22" s="63">
        <v>10000</v>
      </c>
      <c r="I22" s="66">
        <v>2.7996699999999999E-2</v>
      </c>
      <c r="J22" s="66">
        <v>7.2007399999999999E-2</v>
      </c>
      <c r="K22" s="66">
        <v>0.10248599999999999</v>
      </c>
      <c r="L22" s="66">
        <v>0.30385600000000001</v>
      </c>
      <c r="M22" s="66">
        <v>0.86760999999999999</v>
      </c>
      <c r="N22" s="66">
        <v>3.23665</v>
      </c>
      <c r="O22" s="66">
        <v>17.1187</v>
      </c>
      <c r="P22" s="66">
        <v>3.1041865857142859</v>
      </c>
    </row>
    <row r="23" spans="2:27">
      <c r="B23" s="5">
        <v>100</v>
      </c>
      <c r="C23" s="5">
        <v>10000</v>
      </c>
      <c r="D23" s="5">
        <v>6.5320900000000001E-2</v>
      </c>
      <c r="E23" s="5">
        <v>0.10248599999999999</v>
      </c>
      <c r="H23" s="63" t="s">
        <v>57</v>
      </c>
      <c r="I23">
        <v>5.6593714285714291E-3</v>
      </c>
      <c r="J23">
        <v>1.3144100000000001E-2</v>
      </c>
      <c r="K23">
        <v>2.2289685714285714E-2</v>
      </c>
      <c r="L23">
        <v>6.6165285714285718E-2</v>
      </c>
      <c r="M23">
        <v>0.18369579999999999</v>
      </c>
      <c r="N23">
        <v>0.66189614285714282</v>
      </c>
      <c r="O23">
        <v>3.2539115999999999</v>
      </c>
      <c r="P23">
        <v>0.60096599795918371</v>
      </c>
    </row>
    <row r="24" spans="2:27">
      <c r="B24" s="5">
        <v>316</v>
      </c>
      <c r="C24" s="5">
        <v>10</v>
      </c>
      <c r="D24" s="5">
        <v>3.2332E-2</v>
      </c>
      <c r="E24" s="5">
        <v>3.3940000000000001E-4</v>
      </c>
    </row>
    <row r="25" spans="2:27">
      <c r="B25" s="5">
        <v>316</v>
      </c>
      <c r="C25" s="5">
        <v>31</v>
      </c>
      <c r="D25" s="5">
        <v>2.4872499999999999E-2</v>
      </c>
      <c r="E25" s="5">
        <v>9.0970000000000005E-4</v>
      </c>
    </row>
    <row r="26" spans="2:27">
      <c r="B26" s="5">
        <v>316</v>
      </c>
      <c r="C26" s="5">
        <v>100</v>
      </c>
      <c r="D26" s="5">
        <v>2.2391600000000001E-2</v>
      </c>
      <c r="E26" s="5">
        <v>3.0081000000000001E-3</v>
      </c>
    </row>
    <row r="27" spans="2:27">
      <c r="B27" s="5">
        <v>316</v>
      </c>
      <c r="C27" s="5">
        <v>316</v>
      </c>
      <c r="D27" s="5">
        <v>2.1626900000000001E-2</v>
      </c>
      <c r="E27" s="5">
        <v>9.6913999999999993E-3</v>
      </c>
    </row>
    <row r="28" spans="2:27">
      <c r="B28" s="5">
        <v>316</v>
      </c>
      <c r="C28" s="5">
        <v>1000</v>
      </c>
      <c r="D28" s="5">
        <v>2.1384500000000001E-2</v>
      </c>
      <c r="E28" s="5">
        <v>3.10694E-2</v>
      </c>
    </row>
    <row r="29" spans="2:27">
      <c r="B29" s="5">
        <v>316</v>
      </c>
      <c r="C29" s="5">
        <v>3162</v>
      </c>
      <c r="D29" s="5">
        <v>2.1307900000000001E-2</v>
      </c>
      <c r="E29" s="5">
        <v>0.114283</v>
      </c>
    </row>
    <row r="30" spans="2:27">
      <c r="B30" s="5">
        <v>316</v>
      </c>
      <c r="C30" s="5">
        <v>10000</v>
      </c>
      <c r="D30" s="5">
        <v>2.1283699999999999E-2</v>
      </c>
      <c r="E30" s="5">
        <v>0.30385600000000001</v>
      </c>
    </row>
    <row r="31" spans="2:27">
      <c r="B31" s="5">
        <v>1000</v>
      </c>
      <c r="C31" s="5">
        <v>10</v>
      </c>
      <c r="D31" s="5">
        <v>1.7976800000000001E-2</v>
      </c>
      <c r="E31" s="5">
        <v>1.0241E-3</v>
      </c>
    </row>
    <row r="32" spans="2:27">
      <c r="B32" s="5">
        <v>1000</v>
      </c>
      <c r="C32" s="5">
        <v>31</v>
      </c>
      <c r="D32" s="5">
        <v>1.04052E-2</v>
      </c>
      <c r="E32" s="5">
        <v>3.3057999999999998E-3</v>
      </c>
    </row>
    <row r="33" spans="2:5">
      <c r="B33" s="5">
        <v>1000</v>
      </c>
      <c r="C33" s="5">
        <v>100</v>
      </c>
      <c r="D33" s="5">
        <v>7.8884799999999998E-3</v>
      </c>
      <c r="E33" s="5">
        <v>1.1032500000000001E-2</v>
      </c>
    </row>
    <row r="34" spans="2:5">
      <c r="B34" s="5">
        <v>1000</v>
      </c>
      <c r="C34" s="5">
        <v>316</v>
      </c>
      <c r="D34" s="5">
        <v>7.1128800000000002E-3</v>
      </c>
      <c r="E34" s="5">
        <v>2.7746799999999999E-2</v>
      </c>
    </row>
    <row r="35" spans="2:5">
      <c r="B35" s="5">
        <v>1000</v>
      </c>
      <c r="C35" s="5">
        <v>1000</v>
      </c>
      <c r="D35" s="5">
        <v>6.8670099999999998E-3</v>
      </c>
      <c r="E35" s="5">
        <v>9.3986399999999998E-2</v>
      </c>
    </row>
    <row r="36" spans="2:5">
      <c r="B36" s="5">
        <v>1000</v>
      </c>
      <c r="C36" s="5">
        <v>3162</v>
      </c>
      <c r="D36" s="5">
        <v>6.7893099999999998E-3</v>
      </c>
      <c r="E36" s="5">
        <v>0.281165</v>
      </c>
    </row>
    <row r="37" spans="2:5">
      <c r="B37" s="5">
        <v>1000</v>
      </c>
      <c r="C37" s="5">
        <v>10000</v>
      </c>
      <c r="D37" s="5">
        <v>6.76474E-3</v>
      </c>
      <c r="E37" s="5">
        <v>0.86760999999999999</v>
      </c>
    </row>
    <row r="38" spans="2:5">
      <c r="B38" s="5">
        <v>3162</v>
      </c>
      <c r="C38" s="5">
        <v>10</v>
      </c>
      <c r="D38" s="5">
        <v>1.34158E-2</v>
      </c>
      <c r="E38" s="5">
        <v>3.1202000000000001E-3</v>
      </c>
    </row>
    <row r="39" spans="2:5">
      <c r="B39" s="5">
        <v>3162</v>
      </c>
      <c r="C39" s="5">
        <v>31</v>
      </c>
      <c r="D39" s="5">
        <v>5.8095500000000001E-3</v>
      </c>
      <c r="E39" s="5">
        <v>1.1742900000000001E-2</v>
      </c>
    </row>
    <row r="40" spans="2:5">
      <c r="B40" s="5">
        <v>3162</v>
      </c>
      <c r="C40" s="5">
        <v>100</v>
      </c>
      <c r="D40" s="5">
        <v>3.28174E-3</v>
      </c>
      <c r="E40" s="5">
        <v>2.8757000000000001E-2</v>
      </c>
    </row>
    <row r="41" spans="2:5">
      <c r="B41" s="5">
        <v>3162</v>
      </c>
      <c r="C41" s="5">
        <v>316</v>
      </c>
      <c r="D41" s="5">
        <v>2.5027600000000001E-3</v>
      </c>
      <c r="E41" s="5">
        <v>9.2583899999999997E-2</v>
      </c>
    </row>
    <row r="42" spans="2:5">
      <c r="B42" s="5">
        <v>3162</v>
      </c>
      <c r="C42" s="5">
        <v>1000</v>
      </c>
      <c r="D42" s="5">
        <v>2.25582E-3</v>
      </c>
      <c r="E42" s="5">
        <v>0.28954600000000003</v>
      </c>
    </row>
    <row r="43" spans="2:5">
      <c r="B43" s="5">
        <v>3162</v>
      </c>
      <c r="C43" s="5">
        <v>3162</v>
      </c>
      <c r="D43" s="5">
        <v>2.1777900000000002E-3</v>
      </c>
      <c r="E43" s="5">
        <v>0.97087299999999999</v>
      </c>
    </row>
    <row r="44" spans="2:5">
      <c r="B44" s="5">
        <v>3162</v>
      </c>
      <c r="C44" s="5">
        <v>10000</v>
      </c>
      <c r="D44" s="5">
        <v>2.1531100000000002E-3</v>
      </c>
      <c r="E44" s="5">
        <v>3.23665</v>
      </c>
    </row>
    <row r="45" spans="2:5">
      <c r="B45" s="5">
        <v>10000</v>
      </c>
      <c r="C45" s="5">
        <v>10</v>
      </c>
      <c r="D45" s="5">
        <v>1.19674E-2</v>
      </c>
      <c r="E45" s="5">
        <v>1.34263E-2</v>
      </c>
    </row>
    <row r="46" spans="2:5">
      <c r="B46" s="5">
        <v>10000</v>
      </c>
      <c r="C46" s="5">
        <v>31</v>
      </c>
      <c r="D46" s="5">
        <v>4.3503200000000004E-3</v>
      </c>
      <c r="E46" s="5">
        <v>3.4073300000000001E-2</v>
      </c>
    </row>
    <row r="47" spans="2:5">
      <c r="B47" s="5">
        <v>10000</v>
      </c>
      <c r="C47" s="5">
        <v>100</v>
      </c>
      <c r="D47" s="5">
        <v>1.81905E-3</v>
      </c>
      <c r="E47" s="5">
        <v>9.7502599999999995E-2</v>
      </c>
    </row>
    <row r="48" spans="2:5">
      <c r="B48" s="5">
        <v>10000</v>
      </c>
      <c r="C48" s="5">
        <v>316</v>
      </c>
      <c r="D48" s="5">
        <v>1.0390099999999999E-3</v>
      </c>
      <c r="E48" s="5">
        <v>0.32954899999999998</v>
      </c>
    </row>
    <row r="49" spans="2:5">
      <c r="B49" s="5">
        <v>10000</v>
      </c>
      <c r="C49" s="5">
        <v>1000</v>
      </c>
      <c r="D49" s="5">
        <v>7.9174400000000004E-4</v>
      </c>
      <c r="E49" s="5">
        <v>1.2458199999999999</v>
      </c>
    </row>
    <row r="50" spans="2:5">
      <c r="B50" s="5">
        <v>10000</v>
      </c>
      <c r="C50" s="5">
        <v>3162</v>
      </c>
      <c r="D50" s="5">
        <v>7.1361099999999995E-4</v>
      </c>
      <c r="E50" s="5">
        <v>3.93831</v>
      </c>
    </row>
    <row r="51" spans="2:5">
      <c r="B51" s="5">
        <v>10000</v>
      </c>
      <c r="C51" s="5">
        <v>10000</v>
      </c>
      <c r="D51" s="5">
        <v>6.8889600000000004E-4</v>
      </c>
      <c r="E51" s="5">
        <v>17.1187</v>
      </c>
    </row>
  </sheetData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Prices &amp; Greeks</vt:lpstr>
      <vt:lpstr>European-American Equivalence</vt:lpstr>
      <vt:lpstr>Optimal Exercise Boundary</vt:lpstr>
      <vt:lpstr>Error-time with n and 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Riche Rémi</dc:creator>
  <cp:lastModifiedBy>Andrés Daniel Mireles Sainz</cp:lastModifiedBy>
  <dcterms:created xsi:type="dcterms:W3CDTF">2024-10-29T10:12:06Z</dcterms:created>
  <dcterms:modified xsi:type="dcterms:W3CDTF">2025-03-09T17:03:12Z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b3ace929-a6e7-4ed0-aa99-442f277cdbcc</vt:lpwstr>
  </property>
</Properties>
</file>